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B Drive\NEW RFID\"/>
    </mc:Choice>
  </mc:AlternateContent>
  <xr:revisionPtr revIDLastSave="0" documentId="13_ncr:1_{957270E5-AB17-4CD7-B31E-82FE3DE0AAEF}" xr6:coauthVersionLast="47" xr6:coauthVersionMax="47" xr10:uidLastSave="{00000000-0000-0000-0000-000000000000}"/>
  <bookViews>
    <workbookView xWindow="-110" yWindow="-110" windowWidth="19420" windowHeight="11500" activeTab="1" xr2:uid="{709C55E6-875A-4649-BA7C-293A4A6B1176}"/>
  </bookViews>
  <sheets>
    <sheet name="2025" sheetId="1" r:id="rId1"/>
    <sheet name="2026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59" i="2" l="1"/>
  <c r="K159" i="2" s="1"/>
  <c r="J158" i="2"/>
  <c r="K158" i="2" s="1"/>
  <c r="J157" i="2"/>
  <c r="K157" i="2"/>
  <c r="J156" i="2"/>
  <c r="K156" i="2"/>
  <c r="J155" i="2"/>
  <c r="K155" i="2"/>
  <c r="J154" i="2"/>
  <c r="K154" i="2"/>
  <c r="L153" i="2"/>
  <c r="L154" i="2" s="1"/>
  <c r="J148" i="2"/>
  <c r="K148" i="2" s="1"/>
  <c r="J149" i="2"/>
  <c r="J150" i="2"/>
  <c r="J151" i="2"/>
  <c r="J152" i="2"/>
  <c r="J153" i="2"/>
  <c r="L94" i="2"/>
  <c r="J147" i="2"/>
  <c r="K147" i="2" s="1"/>
  <c r="J146" i="2"/>
  <c r="K146" i="2" s="1"/>
  <c r="J145" i="2"/>
  <c r="K145" i="2"/>
  <c r="J144" i="2"/>
  <c r="K144" i="2" s="1"/>
  <c r="J143" i="2"/>
  <c r="K143" i="2" s="1"/>
  <c r="J142" i="2"/>
  <c r="K142" i="2"/>
  <c r="J141" i="2"/>
  <c r="K141" i="2"/>
  <c r="J140" i="2"/>
  <c r="K140" i="2" s="1"/>
  <c r="J139" i="2"/>
  <c r="K139" i="2"/>
  <c r="J138" i="2"/>
  <c r="K138" i="2"/>
  <c r="J137" i="2"/>
  <c r="K137" i="2"/>
  <c r="J136" i="2"/>
  <c r="K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G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6" i="2"/>
  <c r="J67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K149" i="2" l="1"/>
  <c r="K150" i="2" s="1"/>
  <c r="K151" i="2" s="1"/>
  <c r="K152" i="2" s="1"/>
  <c r="K153" i="2" s="1"/>
  <c r="J36" i="2"/>
  <c r="J35" i="2"/>
  <c r="J34" i="2"/>
  <c r="J33" i="2" l="1"/>
  <c r="J32" i="2"/>
  <c r="J31" i="2"/>
  <c r="J30" i="2"/>
  <c r="J29" i="2"/>
  <c r="J28" i="2"/>
  <c r="J27" i="2"/>
  <c r="J26" i="2"/>
  <c r="J25" i="2"/>
  <c r="J24" i="2"/>
  <c r="J23" i="2"/>
  <c r="J22" i="2"/>
  <c r="J21" i="2"/>
  <c r="J128" i="1"/>
  <c r="J20" i="2"/>
  <c r="J19" i="2"/>
  <c r="J15" i="2"/>
  <c r="J18" i="2"/>
  <c r="J17" i="2"/>
  <c r="J16" i="2"/>
  <c r="J14" i="2"/>
  <c r="J13" i="2"/>
  <c r="J12" i="2"/>
  <c r="J11" i="2"/>
  <c r="J10" i="2"/>
  <c r="J9" i="2"/>
  <c r="J8" i="2"/>
  <c r="J7" i="2"/>
  <c r="J6" i="2"/>
  <c r="J5" i="2"/>
  <c r="K4" i="2"/>
  <c r="K5" i="2" s="1"/>
  <c r="K6" i="2" s="1"/>
  <c r="K7" i="2" s="1"/>
  <c r="K8" i="2" s="1"/>
  <c r="K9" i="2" s="1"/>
  <c r="K10" i="2" s="1"/>
  <c r="K11" i="2" s="1"/>
  <c r="K12" i="2" s="1"/>
  <c r="K13" i="2" s="1"/>
  <c r="K14" i="2" s="1"/>
  <c r="K15" i="2" s="1"/>
  <c r="K16" i="2" s="1"/>
  <c r="K17" i="2" s="1"/>
  <c r="K18" i="2" s="1"/>
  <c r="K19" i="2" s="1"/>
  <c r="K20" i="2" s="1"/>
  <c r="K21" i="2" s="1"/>
  <c r="K22" i="2" s="1"/>
  <c r="K23" i="2" s="1"/>
  <c r="K24" i="2" s="1"/>
  <c r="K25" i="2" s="1"/>
  <c r="K26" i="2" s="1"/>
  <c r="K27" i="2" s="1"/>
  <c r="K28" i="2" s="1"/>
  <c r="K29" i="2" s="1"/>
  <c r="K30" i="2" s="1"/>
  <c r="K31" i="2" s="1"/>
  <c r="K32" i="2" s="1"/>
  <c r="K33" i="2" s="1"/>
  <c r="K34" i="2" s="1"/>
  <c r="K35" i="2" s="1"/>
  <c r="K36" i="2" s="1"/>
  <c r="K37" i="2" s="1"/>
  <c r="K38" i="2" s="1"/>
  <c r="K39" i="2" s="1"/>
  <c r="K40" i="2" s="1"/>
  <c r="K41" i="2" s="1"/>
  <c r="K42" i="2" s="1"/>
  <c r="K43" i="2" s="1"/>
  <c r="K44" i="2" s="1"/>
  <c r="K45" i="2" s="1"/>
  <c r="K46" i="2" s="1"/>
  <c r="K47" i="2" s="1"/>
  <c r="K48" i="2" s="1"/>
  <c r="K49" i="2" s="1"/>
  <c r="K50" i="2" s="1"/>
  <c r="K51" i="2" s="1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K73" i="2" s="1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125" i="2" s="1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J127" i="1"/>
  <c r="K127" i="1"/>
  <c r="J126" i="1"/>
  <c r="K126" i="1"/>
  <c r="J125" i="1"/>
  <c r="K125" i="1"/>
  <c r="J124" i="1"/>
  <c r="K124" i="1"/>
  <c r="J123" i="1"/>
  <c r="K123" i="1"/>
  <c r="J122" i="1"/>
  <c r="K122" i="1" s="1"/>
  <c r="J121" i="1"/>
  <c r="K121" i="1"/>
  <c r="J120" i="1"/>
  <c r="K120" i="1"/>
  <c r="J119" i="1"/>
  <c r="K119" i="1" s="1"/>
  <c r="J118" i="1"/>
  <c r="K118" i="1"/>
  <c r="J117" i="1" l="1"/>
  <c r="K117" i="1" s="1"/>
  <c r="K116" i="1"/>
  <c r="G116" i="1"/>
  <c r="K62" i="1" l="1"/>
  <c r="G62" i="1"/>
  <c r="K7" i="1"/>
  <c r="K6" i="1"/>
  <c r="G5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K8" i="1"/>
  <c r="K9" i="1" s="1"/>
  <c r="K10" i="1" s="1"/>
  <c r="K11" i="1" s="1"/>
  <c r="K12" i="1" s="1"/>
  <c r="K13" i="1" s="1"/>
  <c r="K14" i="1" s="1"/>
  <c r="K15" i="1" s="1"/>
  <c r="K16" i="1" l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K111" i="1" s="1"/>
  <c r="K112" i="1" s="1"/>
  <c r="K113" i="1" s="1"/>
  <c r="K114" i="1" s="1"/>
  <c r="K115" i="1" s="1"/>
</calcChain>
</file>

<file path=xl/sharedStrings.xml><?xml version="1.0" encoding="utf-8"?>
<sst xmlns="http://schemas.openxmlformats.org/spreadsheetml/2006/main" count="577" uniqueCount="389">
  <si>
    <t>LAPORAN REKAPITULASI KARTU RFID JATIMBALINUS</t>
  </si>
  <si>
    <t>NO</t>
  </si>
  <si>
    <t>TANGGAL</t>
  </si>
  <si>
    <t>URAIAN</t>
  </si>
  <si>
    <t>CRM</t>
  </si>
  <si>
    <t>INBOUND</t>
  </si>
  <si>
    <t>OUTBOND</t>
  </si>
  <si>
    <t>KARTU KELUAR</t>
  </si>
  <si>
    <t>STOK AKIHR</t>
  </si>
  <si>
    <t>AWAL</t>
  </si>
  <si>
    <t>AKHIR</t>
  </si>
  <si>
    <t>Stok Awal</t>
  </si>
  <si>
    <t>Terima Kartu RFID</t>
  </si>
  <si>
    <t>PUSAKA PRIMA TRANSPORT (2024) (SURABAYA)</t>
  </si>
  <si>
    <t>CRM2024110074</t>
  </si>
  <si>
    <t xml:space="preserve">KANTOR IMIGRASI KELAS I KHUSUS TPI SURABAYA </t>
  </si>
  <si>
    <t>CRM2021100095</t>
  </si>
  <si>
    <t>ARTA ASIA PUTRA</t>
  </si>
  <si>
    <t xml:space="preserve">CRM2024030028 </t>
  </si>
  <si>
    <t>BADAN PENGHUBUNG DAERAH SUBBIDANG WILAYAH II</t>
  </si>
  <si>
    <t>DINAS LINGKUNGAN HIDUP KOTA MALANG</t>
  </si>
  <si>
    <t xml:space="preserve">CRM2022120072 </t>
  </si>
  <si>
    <t>BANK INDONESIA MALANG</t>
  </si>
  <si>
    <t xml:space="preserve">CRM2023110127 </t>
  </si>
  <si>
    <t xml:space="preserve">CRM2024110074 </t>
  </si>
  <si>
    <t xml:space="preserve"> PT. MIKATASA AGUNG</t>
  </si>
  <si>
    <t>CRM2025020113</t>
  </si>
  <si>
    <t>DINAS IMIGRASI JEMBER</t>
  </si>
  <si>
    <t xml:space="preserve">CRM2025020086 </t>
  </si>
  <si>
    <t>Bank Indonesia Bali</t>
  </si>
  <si>
    <t xml:space="preserve">CRM2016120082 </t>
  </si>
  <si>
    <t xml:space="preserve">BPK PERWAKILAN PROVINSI BALI </t>
  </si>
  <si>
    <t>CRM2021020053</t>
  </si>
  <si>
    <t>PLN JATIM</t>
  </si>
  <si>
    <t>CRM2025020082</t>
  </si>
  <si>
    <t>Bali International Hospital</t>
  </si>
  <si>
    <t>CRM2024070011</t>
  </si>
  <si>
    <t>Dinas Kepemudaan Olahraga dan Pariwisata Kota Malang</t>
  </si>
  <si>
    <t>CRM2024010133</t>
  </si>
  <si>
    <t>PT Bank Syariah Indonesia RO VIII Surabaya</t>
  </si>
  <si>
    <t xml:space="preserve">CRM2025010053 </t>
  </si>
  <si>
    <t>PT TASPEN (PERSERO) KANTOR CABANG DENPASAR</t>
  </si>
  <si>
    <t xml:space="preserve">CRM2025020156 </t>
  </si>
  <si>
    <t>CV Anugrah Pratama</t>
  </si>
  <si>
    <t>CRM2023050074</t>
  </si>
  <si>
    <t>CV. INDO BAUT MANDIRI</t>
  </si>
  <si>
    <t>CRM2025030087</t>
  </si>
  <si>
    <t>PT. Gandum- Malang</t>
  </si>
  <si>
    <t>CRM2021080037</t>
  </si>
  <si>
    <t>PT JNE EXPRESS</t>
  </si>
  <si>
    <t>CRM2016124192</t>
  </si>
  <si>
    <t>PT GENDING SUKOCO</t>
  </si>
  <si>
    <t>CRM2024010087</t>
  </si>
  <si>
    <t>PT BANK TABUNGAN NEGARA (PERSERO) TBK KANTOR CABANG DENPASAR</t>
  </si>
  <si>
    <t>CRM2016124776</t>
  </si>
  <si>
    <t>PT Terus Jaya Cargo</t>
  </si>
  <si>
    <t>CRM2025040083</t>
  </si>
  <si>
    <t>PT Tujuh Impian Bersama</t>
  </si>
  <si>
    <t>CRM2017040002</t>
  </si>
  <si>
    <t>Kantor Perwakilan Bank Indonesia Jember</t>
  </si>
  <si>
    <t>CRM2016122292</t>
  </si>
  <si>
    <t>DIREKTORAT JENDERAL ADMINITRASI HUKUM UMUM DITJEN (PT BRINGIN GIGANTARA)</t>
  </si>
  <si>
    <t>CRM2018080008</t>
  </si>
  <si>
    <t>CRM2022120072</t>
  </si>
  <si>
    <t>PT. BALI YONI SAGUNA</t>
  </si>
  <si>
    <t>CRM2017030043</t>
  </si>
  <si>
    <t>KANTOR IMIGRASI KELAS I TPI JEMBER</t>
  </si>
  <si>
    <t>CRM2025020086</t>
  </si>
  <si>
    <t>KANTOR WILAYAH KEMENTERIAN HUKUM JAWA TIMUR</t>
  </si>
  <si>
    <t>CRM2022030070</t>
  </si>
  <si>
    <t>PT. TOWER BERSAMA</t>
  </si>
  <si>
    <t>CRM2023090155</t>
  </si>
  <si>
    <t>PT. MIKATASA AGUNG SURABAYA</t>
  </si>
  <si>
    <t>CRM2025060008</t>
  </si>
  <si>
    <t>CV. LAUNDRY JAYA</t>
  </si>
  <si>
    <t>CRM2025050140</t>
  </si>
  <si>
    <t>PT. MIKATASA AGUNG SURABAYA CANCEL</t>
  </si>
  <si>
    <t>PT Transjawa Paspro Jalan Tol</t>
  </si>
  <si>
    <t>CRM2023110145</t>
  </si>
  <si>
    <t xml:space="preserve"> Bali International Hospital</t>
  </si>
  <si>
    <t>BRI KANWIL SURABAYA</t>
  </si>
  <si>
    <t>CRM2023030123</t>
  </si>
  <si>
    <t>INDONESIA COMNETS PLUS (PLN ICON PLUS)</t>
  </si>
  <si>
    <t>CRM2025050318</t>
  </si>
  <si>
    <t>PT. Sentral Laharindo Servis</t>
  </si>
  <si>
    <t>CRM2016124609</t>
  </si>
  <si>
    <t>PTMAHATMA AGRO NGANJUK</t>
  </si>
  <si>
    <t>CRM2024060134</t>
  </si>
  <si>
    <t>PT KARUNIA INDAH DELAPAN EXPRES MALANG)</t>
  </si>
  <si>
    <t>CRM2024120053</t>
  </si>
  <si>
    <t>PT KARUNIA INDAH DELAPAN EXPRES (KEDIRI)</t>
  </si>
  <si>
    <t>CRM2024120054</t>
  </si>
  <si>
    <t>PT KARUNIA INDAH DELAPAN EXPRES (JEMBER)</t>
  </si>
  <si>
    <t xml:space="preserve">CRM2024120056 </t>
  </si>
  <si>
    <t>PT ESBOKS EXPRES INDONESIA</t>
  </si>
  <si>
    <t xml:space="preserve">CRM2025050095 </t>
  </si>
  <si>
    <t>PLN UIT JAWA BAG. TIMUR DAN BALI</t>
  </si>
  <si>
    <t xml:space="preserve">CRM2025060158 </t>
  </si>
  <si>
    <t>Gusti Ngurah Anom</t>
  </si>
  <si>
    <t xml:space="preserve">CRM2021060086 </t>
  </si>
  <si>
    <t>PT. Eratex Djaja,Tbk</t>
  </si>
  <si>
    <t xml:space="preserve">CRM2025070036 </t>
  </si>
  <si>
    <t xml:space="preserve">PT BRATACO - SIDOARJO ( MOTOR) </t>
  </si>
  <si>
    <t>CRM2022100034</t>
  </si>
  <si>
    <t>PT. CHEIL JEDANG INDONESIA</t>
  </si>
  <si>
    <t xml:space="preserve">CRM2025070167 </t>
  </si>
  <si>
    <t>PT. GLOBE INTERTRANS (WAAD00835)</t>
  </si>
  <si>
    <t xml:space="preserve">CRM2017020528 </t>
  </si>
  <si>
    <t xml:space="preserve">PT PGAS Solution </t>
  </si>
  <si>
    <t xml:space="preserve">CRM2025070136 </t>
  </si>
  <si>
    <t>PERTARE ( DUMMY REGION VI )</t>
  </si>
  <si>
    <t xml:space="preserve">CRM2025080023 </t>
  </si>
  <si>
    <t>Pusaka Prima Transport</t>
  </si>
  <si>
    <t>PT CSM CORPORATAMA</t>
  </si>
  <si>
    <t xml:space="preserve">CRM2025070203 </t>
  </si>
  <si>
    <t>PT Karunia Indah Delapan Expres</t>
  </si>
  <si>
    <t xml:space="preserve">CRM2024120048 </t>
  </si>
  <si>
    <t>PT KORINDO SUKSES ABADI</t>
  </si>
  <si>
    <t xml:space="preserve">CRM2025080038 </t>
  </si>
  <si>
    <t>Bawaslu Prov. Jatim</t>
  </si>
  <si>
    <t xml:space="preserve">CRM2025070196 </t>
  </si>
  <si>
    <t>BENDAHARA PENGELUARAN RUMAH SAKIT SANGLAH DENPASAR</t>
  </si>
  <si>
    <t xml:space="preserve">CRM2016122474 </t>
  </si>
  <si>
    <t>PT Bank Syariah Indonesia, Tbk KC Surabaya Basuki Rahmat</t>
  </si>
  <si>
    <t xml:space="preserve">CRM2025080039 </t>
  </si>
  <si>
    <t>DINAS PERHUBUNGAN KABUPATEN MALANG</t>
  </si>
  <si>
    <t xml:space="preserve">CRM2025080078 </t>
  </si>
  <si>
    <t xml:space="preserve">CRM2025050318 </t>
  </si>
  <si>
    <t xml:space="preserve">PT BRATACO - SURABAYA ( MOTOR) </t>
  </si>
  <si>
    <t>CRM2022100033</t>
  </si>
  <si>
    <t>PT PERTAMINA PATRA NIAGA - MOR V 2019</t>
  </si>
  <si>
    <t xml:space="preserve">CRM2019050002 </t>
  </si>
  <si>
    <t>PT MARGA HARJAYA INFRASTRUKTUR</t>
  </si>
  <si>
    <t xml:space="preserve">CRM2025090027 </t>
  </si>
  <si>
    <t>PT MEDION ARDHIKA BHAKTI</t>
  </si>
  <si>
    <t xml:space="preserve">CRM2025090049 </t>
  </si>
  <si>
    <t xml:space="preserve">CRM2016124609 </t>
  </si>
  <si>
    <t>KARURA FREIGHT FORWARDING &amp; LOGISTICS</t>
  </si>
  <si>
    <t xml:space="preserve">CRM2025090032 </t>
  </si>
  <si>
    <t>PT. INDOMOBIL PRIMA NIAGA SURABAYA</t>
  </si>
  <si>
    <t xml:space="preserve">CRM2023040012 </t>
  </si>
  <si>
    <t>BHINEKA INOVASI GLOBAL</t>
  </si>
  <si>
    <t>CRM2025080055</t>
  </si>
  <si>
    <t xml:space="preserve">MULTI ARTHA GRAHA </t>
  </si>
  <si>
    <t>CRM2024020085</t>
  </si>
  <si>
    <t>CRM2025080078</t>
  </si>
  <si>
    <t>BTN SYARIAH SURABAYA</t>
  </si>
  <si>
    <t>CRM2024070108</t>
  </si>
  <si>
    <t>DAESANG AGUNG INDONESIA (SURABAYA)</t>
  </si>
  <si>
    <t>CRM2025090118</t>
  </si>
  <si>
    <t>DAESANG AGUNG INDONESIA (JEMBER)</t>
  </si>
  <si>
    <t>CRM2025100037</t>
  </si>
  <si>
    <t>SPPG WONOCOLO / BOGA SURYA SENTOSA</t>
  </si>
  <si>
    <t>CRM2025100116</t>
  </si>
  <si>
    <t>BTN SYARIAH JEMBER</t>
  </si>
  <si>
    <t>CRM2025100101</t>
  </si>
  <si>
    <t>PT ANTARMITRA SEMBADA CAB JEMBER</t>
  </si>
  <si>
    <t>CRM2025100150</t>
  </si>
  <si>
    <t>Kantor Otoritas Jasa Keuangan Provinsi Bali</t>
  </si>
  <si>
    <t>CRM2016122393</t>
  </si>
  <si>
    <t>Badan Pengawas Pemilihan Umum Provinsi Jawa Timur</t>
  </si>
  <si>
    <t>CRM2025070196</t>
  </si>
  <si>
    <t>CV INSIMA LIVING INDONESIA</t>
  </si>
  <si>
    <t>CRM2022020010</t>
  </si>
  <si>
    <t>PT Sinarmas Distribusi Nusantara (Surabaya)</t>
  </si>
  <si>
    <t>CRM2025100080</t>
  </si>
  <si>
    <t>PT Sinarmas Distribusi Nusantara (Banyuwangi)</t>
  </si>
  <si>
    <t>CRM2025100081</t>
  </si>
  <si>
    <t>PT . ANTARMITRA SEMBADA CAB SURABAYA 1</t>
  </si>
  <si>
    <t>CRM2025100202</t>
  </si>
  <si>
    <t>PT ANTARMITRA SEMBADA CABANG SURABAYA 2</t>
  </si>
  <si>
    <t>CRM2025110001</t>
  </si>
  <si>
    <t>KARTU MASUK</t>
  </si>
  <si>
    <t>CRM2017020528</t>
  </si>
  <si>
    <t>CV. Imperial Maju Mandiri</t>
  </si>
  <si>
    <t>CRM2025110128</t>
  </si>
  <si>
    <t>PT CIPTA FASTENER INDONESIA (SURABAYA)</t>
  </si>
  <si>
    <t>CRM2023090120</t>
  </si>
  <si>
    <t>SUMBERMAS SEJAHTERA, CV</t>
  </si>
  <si>
    <t>CRM2025110240</t>
  </si>
  <si>
    <t>PT HARAPAN JAYA MINING TRANSPORT</t>
  </si>
  <si>
    <t>CRM2025110269</t>
  </si>
  <si>
    <t>PT. Mandiri Transforma Global</t>
  </si>
  <si>
    <t xml:space="preserve">CRM2024110024  </t>
  </si>
  <si>
    <t>RS KATOLIK ST. VINCENTIUS A PAULO SURABAYA</t>
  </si>
  <si>
    <t>CRM2025120085</t>
  </si>
  <si>
    <t>PT. ANTARMITRA SEMBADA CABANG MALANG</t>
  </si>
  <si>
    <t>CRM2025120084</t>
  </si>
  <si>
    <t xml:space="preserve">PT MARGA SOLUSI PRIMA </t>
  </si>
  <si>
    <t>CRM2021030124</t>
  </si>
  <si>
    <t>PT. KARURA LOGISTICS</t>
  </si>
  <si>
    <t>CRM2025090032</t>
  </si>
  <si>
    <t>CRM2024120048</t>
  </si>
  <si>
    <t>PT AMARI OPHELOS LARUNDA INDONESIA</t>
  </si>
  <si>
    <t>CRM2023020167</t>
  </si>
  <si>
    <t>PT. SERASI AUTORAYA (BALI)</t>
  </si>
  <si>
    <t>CRM2025030060</t>
  </si>
  <si>
    <t>PT DAIKIN AIRCONDITIONING INDONESIA (BRANCH SURABAYA)</t>
  </si>
  <si>
    <t xml:space="preserve">CRM2016124427 </t>
  </si>
  <si>
    <t>CRM2021060411</t>
  </si>
  <si>
    <t>PT Brinks Solutions Indonesia</t>
  </si>
  <si>
    <t>PT Brataco - Surabaya - Motor</t>
  </si>
  <si>
    <t>CRM2019050002</t>
  </si>
  <si>
    <t>CRM2026010094</t>
  </si>
  <si>
    <t>Balai Harta Peninggalan Surabaya</t>
  </si>
  <si>
    <t>CRM2025080038</t>
  </si>
  <si>
    <t>CRM2026010100</t>
  </si>
  <si>
    <t>PT BANK IBK INDONESIA (KC HR Muhammad)</t>
  </si>
  <si>
    <t>CRM2026010101</t>
  </si>
  <si>
    <t>PT BANK IBK INDONESIA (KC Denpasar)</t>
  </si>
  <si>
    <t>CRM2026010236</t>
  </si>
  <si>
    <t>PT BANK IBK INDONESIA (KC The Samator)</t>
  </si>
  <si>
    <t>CRM2025110090</t>
  </si>
  <si>
    <t>PT ANTARMITRA SEMBADA CABANG DENPASAR</t>
  </si>
  <si>
    <t>CRM2024060103</t>
  </si>
  <si>
    <t>SENTRA DISTRIBUSI JAYAABADI</t>
  </si>
  <si>
    <t>Imperial Maju Mandiri</t>
  </si>
  <si>
    <t>CRM2026010260</t>
  </si>
  <si>
    <t>PT. PETRO TEKNIK KONSTRUKSI</t>
  </si>
  <si>
    <t>CRM2026020033</t>
  </si>
  <si>
    <t xml:space="preserve">Biro Humas dan Protokol Sekretatiat Daerah Provinsi Bali </t>
  </si>
  <si>
    <t>CRM2026010289</t>
  </si>
  <si>
    <t>DINAS PARIWISATA DAN KEBUDAYAAN KABUPATEN MALANG</t>
  </si>
  <si>
    <t>CRM2026010311</t>
  </si>
  <si>
    <t>PT STAR PRISMA KONSTRUKSI</t>
  </si>
  <si>
    <t>CRM2026010310</t>
  </si>
  <si>
    <t>PT CITRAPRISMA MANDIRI</t>
  </si>
  <si>
    <t>CRM2026020001</t>
  </si>
  <si>
    <t>ASURANSI BANGUN ASKRIDA</t>
  </si>
  <si>
    <t>PT.KARUNIA INDAH DELAPAN EXPRES</t>
  </si>
  <si>
    <t>CRM2026020114</t>
  </si>
  <si>
    <t>PT PENAK NATA BAROKAH</t>
  </si>
  <si>
    <t>CRM2026020115</t>
  </si>
  <si>
    <t>CV. MARISANA BERKAH</t>
  </si>
  <si>
    <t>CRM2026020012</t>
  </si>
  <si>
    <t>Hotel Sinar 1</t>
  </si>
  <si>
    <t>CRM2026020008</t>
  </si>
  <si>
    <t>PT. MERAPI AGUNG LESTARI</t>
  </si>
  <si>
    <t>CRM2026020120</t>
  </si>
  <si>
    <t xml:space="preserve">CV Sumber Karunia Abadi </t>
  </si>
  <si>
    <t>CRM2026020092</t>
  </si>
  <si>
    <t>BADAN PENANGGULANGAN BENCANA DAERAH PROVINSI BALI</t>
  </si>
  <si>
    <t>CRM2026010278</t>
  </si>
  <si>
    <t>SEKRETARIAT DAERAH PROVINSI BALI (SUB BAGIAN URUSAN RUMAH TANGGA WAKIL GUBERNUR BALI pada BIRO UMUM)</t>
  </si>
  <si>
    <t>CRM2026030012</t>
  </si>
  <si>
    <t>SEKRETARIAT DAERAH POVINSI BALI (Biro Pengadaan Barang/Jasa dan Perekonomian Setda Prov. Bali)</t>
  </si>
  <si>
    <t>Australian Consulate Bali</t>
  </si>
  <si>
    <t>CRM2026030041</t>
  </si>
  <si>
    <t>PT BRINKS SOLUTION INDONESIA (DENPASAR)</t>
  </si>
  <si>
    <t>CRM2021060409</t>
  </si>
  <si>
    <t xml:space="preserve">PT RUMAH SAKIT ANWAR MEDIKA </t>
  </si>
  <si>
    <t>CRM2023080137</t>
  </si>
  <si>
    <t>Badan Kepegawaian dan Pengembangan Sumber Daya Manusia Provinsi Bali</t>
  </si>
  <si>
    <t>CRM2026030042</t>
  </si>
  <si>
    <t xml:space="preserve">CRM2024110024 </t>
  </si>
  <si>
    <t>CRM2025010054</t>
  </si>
  <si>
    <t>PT KARYA INDAH BUANA SURABAYA</t>
  </si>
  <si>
    <t>CRM2020040021</t>
  </si>
  <si>
    <t>PT DAESANG AGUNG INDONESIA</t>
  </si>
  <si>
    <t>CRM2026030043</t>
  </si>
  <si>
    <t>UPTD Penilaian Kompetensi Pegawai BKPSDM Provinsi Bali</t>
  </si>
  <si>
    <t>CRM2022030051</t>
  </si>
  <si>
    <t>Politeknik Penerbangan Surabaya</t>
  </si>
  <si>
    <t>PT. GLOBE INTERTRANS</t>
  </si>
  <si>
    <t>PT DAESANG AGUNG INDONESIA CAB. SURABAYA</t>
  </si>
  <si>
    <t>ASURANSI BANGUN ASKRIDA CABANG DENPASAR</t>
  </si>
  <si>
    <t>PT. ASURANSI BANGUN ASKRIDA CAB. MATARAM</t>
  </si>
  <si>
    <t>CRM2026020093</t>
  </si>
  <si>
    <t>SNVT PENGENDALIAN LUMPUR SIDOARJO</t>
  </si>
  <si>
    <t>CRM2026040090</t>
  </si>
  <si>
    <t>PERUSAHAAN LISTRIK NEGARA (PERSERO)</t>
  </si>
  <si>
    <t xml:space="preserve">PT Harapan Jaya Mining Transport </t>
  </si>
  <si>
    <t>PT. Varia Usaha Beton</t>
  </si>
  <si>
    <t>CRM2026040053</t>
  </si>
  <si>
    <t>PT SCG READYMIX INDONESIA</t>
  </si>
  <si>
    <t>CRM2026040113</t>
  </si>
  <si>
    <t>PT. USAHA GARDA ARTA CABANG SURABAYA</t>
  </si>
  <si>
    <t>CRM2026040136</t>
  </si>
  <si>
    <t>BANK BPD BALI</t>
  </si>
  <si>
    <t>CRM2016122390</t>
  </si>
  <si>
    <t>CRM2026020091</t>
  </si>
  <si>
    <t xml:space="preserve"> PT ASURANSI BANGUN ASKRIDA KANTOR CABANG KUPANG</t>
  </si>
  <si>
    <t>FAKULTAS KEDOKTERAN UNIVERSITAS UDAYANA</t>
  </si>
  <si>
    <t>CRM2026040194</t>
  </si>
  <si>
    <t>CRM2025050095</t>
  </si>
  <si>
    <t>PT Limas Sentosa Antar Nusa</t>
  </si>
  <si>
    <t>CRM2018020094</t>
  </si>
  <si>
    <t>CRM2026030001</t>
  </si>
  <si>
    <t>UPTD. Pengembangan Kompetensi Sumber Daya Manusia BKPSDM Provinsi Bali</t>
  </si>
  <si>
    <t>CRM2026050055</t>
  </si>
  <si>
    <t>PT. SUMBER AYU SEGAR MAKMUR</t>
  </si>
  <si>
    <t>CRM2026040137</t>
  </si>
  <si>
    <t>CRM2026050048</t>
  </si>
  <si>
    <t>PT OMYA INDONESIA</t>
  </si>
  <si>
    <t>PT. Ustegra</t>
  </si>
  <si>
    <t>CRM2026050059</t>
  </si>
  <si>
    <t>CRM2026050076</t>
  </si>
  <si>
    <t>UNIVERSITAS UDAYANA</t>
  </si>
  <si>
    <t>PT. CALMIC INDONESIA (CABANG SURABAYA)</t>
  </si>
  <si>
    <t>CRM2018030071</t>
  </si>
  <si>
    <t>RS ARAFAH ANWAR MEDIKA</t>
  </si>
  <si>
    <t>CRM2026050067</t>
  </si>
  <si>
    <t>PT DAESANG INGREDIENTS INDONESIA</t>
  </si>
  <si>
    <t>CRM2026050044</t>
  </si>
  <si>
    <t>CRM2026050085</t>
  </si>
  <si>
    <t>Poltekkes Kemenkes Denpasar</t>
  </si>
  <si>
    <t>CRM2026050137</t>
  </si>
  <si>
    <t xml:space="preserve">BALAI JASA KONSTRUKSI WILAYAH IV SURABAYA </t>
  </si>
  <si>
    <t>Dewan  Perwakilan Rakyat Daerah Provinsi Bali</t>
  </si>
  <si>
    <t>CRM2026050013</t>
  </si>
  <si>
    <t>PT BANK MANDIRI (PERSERO) Tbk.</t>
  </si>
  <si>
    <t>CRM2026060010</t>
  </si>
  <si>
    <t>CRM2026020162</t>
  </si>
  <si>
    <t>UPT PUSKESMAS KURIPAN</t>
  </si>
  <si>
    <t>CRM2016124560</t>
  </si>
  <si>
    <t>BIRO UMUM DAN PROTOKOL SETDA PROVINSI BALI</t>
  </si>
  <si>
    <t>CRM2026060015</t>
  </si>
  <si>
    <t xml:space="preserve">KANTOR IMIGRASI KELAS I TPI TANJUNG PERAK </t>
  </si>
  <si>
    <t>CRM2026050047</t>
  </si>
  <si>
    <t>PT Jasa Raharja Kantor Wilayah Nusa Tenggara Timur</t>
  </si>
  <si>
    <t>CRM2026060131</t>
  </si>
  <si>
    <t>PT RENTOKIL INDONESIA - CAB MALANG</t>
  </si>
  <si>
    <t>CRM2026060132</t>
  </si>
  <si>
    <t>PT CALMIC INDONESIA - CAB MALANG</t>
  </si>
  <si>
    <t>CRM2026060133</t>
  </si>
  <si>
    <t>PT RENTOKIL INDONESIA - CAB. SURABAYA 2</t>
  </si>
  <si>
    <t>kemenkumham</t>
  </si>
  <si>
    <t>PT RENTOKIL INDONESIA - CAB. SUB. HD</t>
  </si>
  <si>
    <t>CRM2026060130</t>
  </si>
  <si>
    <t>PT Brinks Solutions Indonesia Cabang Surabaya</t>
  </si>
  <si>
    <t>CRM2026060129</t>
  </si>
  <si>
    <t>PT. Rentokil Indonesia - Cab. Sub. Residential</t>
  </si>
  <si>
    <t xml:space="preserve"> CRM2025110128</t>
  </si>
  <si>
    <t>CV Sumber Karunia Abadi</t>
  </si>
  <si>
    <t>PT BALI TOWERINDO SENTRA - Govrel</t>
  </si>
  <si>
    <t>CRM2026060172</t>
  </si>
  <si>
    <t>KANTOR IMIGRASI KELAS I KHUSUS TPI SURABAYA</t>
  </si>
  <si>
    <t>KANTOR OJK PROVINSI BALI</t>
  </si>
  <si>
    <t>PT. MIKATASA AGUNG</t>
  </si>
  <si>
    <t>CRM2022030056</t>
  </si>
  <si>
    <t>PT MEGADEPO INDONESIA</t>
  </si>
  <si>
    <t>CRM2026070016</t>
  </si>
  <si>
    <t>PT. ASURANSI BANGUN ASKRIDA JEMBER</t>
  </si>
  <si>
    <t>CRM2026070163</t>
  </si>
  <si>
    <t>PT Pacific International Lines Indonesia Surabaya</t>
  </si>
  <si>
    <t>CRM2026060089</t>
  </si>
  <si>
    <t>PT BANK SYARIAH INDONESIA , KCP MALANG SUKUN</t>
  </si>
  <si>
    <t>PT. PAXTON GARAGE INDONESIA</t>
  </si>
  <si>
    <t>CRM2026070157</t>
  </si>
  <si>
    <t>CRM2026070172</t>
  </si>
  <si>
    <t>PT. MENSA BINASUKSES JEMBER</t>
  </si>
  <si>
    <t>PT. CALMIC INDONESIA</t>
  </si>
  <si>
    <t>MENSA BINASUKSES</t>
  </si>
  <si>
    <t>CRM2026070156</t>
  </si>
  <si>
    <t>PT MENSA BINASUKSES Cab Surabaya</t>
  </si>
  <si>
    <t>CRM2026070061</t>
  </si>
  <si>
    <t>Dinas Pemberdayaan Masyarakat, Desa, Kependudukan dan Pencatatan Sipil Provinsi Bali</t>
  </si>
  <si>
    <t>CRM2026070146</t>
  </si>
  <si>
    <t>PT CENTURY BEARINDO INTERNATIONAL</t>
  </si>
  <si>
    <t>CRM2026070223</t>
  </si>
  <si>
    <t>BIRO HUKUM SETDA PROVINSI BALI</t>
  </si>
  <si>
    <t>CRM2026070148</t>
  </si>
  <si>
    <t>PT ASURANSI BANGUN ASKRIDA</t>
  </si>
  <si>
    <t>CRM2026060181</t>
  </si>
  <si>
    <t>PT KARUNIA INDAH DELAPAN EXPRES (SURABAYA)</t>
  </si>
  <si>
    <t>PT. MANDIRI TRANSFORMA GLOBAL</t>
  </si>
  <si>
    <t>PT KARUNIA INDAH DELAPAN EXPRES (MALANG)</t>
  </si>
  <si>
    <t>PT. RENTOKIL INDONESIA (CABANG SURABAYA)</t>
  </si>
  <si>
    <t>CRM2018030070</t>
  </si>
  <si>
    <t>BANK NEO COMMERCE TBK - MALANG</t>
  </si>
  <si>
    <t>CRM2026080016</t>
  </si>
  <si>
    <t>CV BERKAT ANAK FIRMAN</t>
  </si>
  <si>
    <t>CRM2026080003</t>
  </si>
  <si>
    <t>DAIKIN AIRCONDITIONING INDONESIA - DPS</t>
  </si>
  <si>
    <t>CRM2026080004</t>
  </si>
  <si>
    <t>PT BANK GANESHA TBK</t>
  </si>
  <si>
    <t>CRM2026050081</t>
  </si>
  <si>
    <t>PT Smart Life Solutions</t>
  </si>
  <si>
    <t>CRM2026070263</t>
  </si>
  <si>
    <t>CRM2026060001</t>
  </si>
  <si>
    <t>SATPOL PP</t>
  </si>
  <si>
    <t>CRM2026070122</t>
  </si>
  <si>
    <t>PLN UPP JBTB 3</t>
  </si>
  <si>
    <t>Rentokil Initial Bali (8)</t>
  </si>
  <si>
    <t>Bank neo Surabaya (3)</t>
  </si>
  <si>
    <t>Sub Bagian Urusan Rumah Tangga Gubernur Bali Biro Umum Sekretariat Daerah Provinsi Bali (12)</t>
  </si>
  <si>
    <t>Mahatma Agro (4)</t>
  </si>
  <si>
    <t>Globe rent car (7)</t>
  </si>
  <si>
    <t>Mensa Denpasar (14)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</si>
</sst>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1" fillId="3" borderId="1" xfId="0" applyFont="1" applyFill="1" applyBorder="1"/>
    <xf numFmtId="0" fontId="0" fillId="3" borderId="1" xfId="0" applyFill="1" applyBorder="1"/>
    <xf numFmtId="0" fontId="1" fillId="3" borderId="1" xfId="0" quotePrefix="1" applyFont="1" applyFill="1" applyBorder="1"/>
    <xf numFmtId="0" fontId="0" fillId="0" borderId="1" xfId="0" applyBorder="1" applyAlignment="1">
      <alignment horizontal="left" vertical="center"/>
    </xf>
    <xf numFmtId="0" fontId="0" fillId="4" borderId="1" xfId="0" applyFill="1" applyBorder="1"/>
    <xf numFmtId="0" fontId="0" fillId="5" borderId="1" xfId="0" applyFill="1" applyBorder="1"/>
    <xf numFmtId="0" fontId="0" fillId="0" borderId="0" xfId="0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0" fontId="0" fillId="6" borderId="1" xfId="0" applyFill="1" applyBorder="1"/>
    <xf numFmtId="0" fontId="0" fillId="0" borderId="2" xfId="0" applyBorder="1"/>
    <xf numFmtId="164" fontId="0" fillId="0" borderId="0" xfId="0" applyNumberFormat="1"/>
    <xf numFmtId="164" fontId="0" fillId="0" borderId="1" xfId="0" applyNumberFormat="1" applyBorder="1"/>
    <xf numFmtId="0" fontId="0" fillId="0" borderId="5" xfId="0" applyBorder="1"/>
    <xf numFmtId="0" fontId="0" fillId="4" borderId="1" xfId="0" applyFill="1" applyBorder="1" applyAlignment="1">
      <alignment horizontal="center"/>
    </xf>
    <xf numFmtId="164" fontId="0" fillId="4" borderId="1" xfId="0" applyNumberFormat="1" applyFill="1" applyBorder="1"/>
    <xf numFmtId="0" fontId="0" fillId="4" borderId="0" xfId="0" applyFill="1"/>
    <xf numFmtId="0" fontId="0" fillId="7" borderId="0" xfId="0" applyFill="1" applyAlignment="1">
      <alignment horizontal="center"/>
    </xf>
    <xf numFmtId="164" fontId="0" fillId="7" borderId="0" xfId="0" applyNumberFormat="1" applyFill="1"/>
    <xf numFmtId="0" fontId="0" fillId="7" borderId="0" xfId="0" applyFill="1"/>
    <xf numFmtId="0" fontId="0" fillId="7" borderId="1" xfId="0" applyFill="1" applyBorder="1" applyAlignment="1">
      <alignment horizontal="center"/>
    </xf>
    <xf numFmtId="164" fontId="0" fillId="7" borderId="1" xfId="0" applyNumberFormat="1" applyFill="1" applyBorder="1"/>
    <xf numFmtId="0" fontId="0" fillId="7" borderId="1" xfId="0" applyFill="1" applyBorder="1"/>
    <xf numFmtId="0" fontId="0" fillId="0" borderId="2" xfId="0" applyBorder="1" applyAlignment="1">
      <alignment horizontal="center"/>
    </xf>
    <xf numFmtId="164" fontId="0" fillId="0" borderId="2" xfId="0" applyNumberFormat="1" applyBorder="1"/>
    <xf numFmtId="0" fontId="2" fillId="0" borderId="4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C8611-B281-49BC-B7ED-C1E596CF83AE}">
  <dimension ref="A1:K128"/>
  <sheetViews>
    <sheetView workbookViewId="0">
      <pane ySplit="3" topLeftCell="A118" activePane="bottomLeft" state="frozen"/>
      <selection pane="bottomLeft" activeCell="C130" sqref="C130"/>
    </sheetView>
  </sheetViews>
  <sheetFormatPr defaultColWidth="10.1796875" defaultRowHeight="14.5" x14ac:dyDescent="0.35"/>
  <cols>
    <col min="1" max="1" width="8.453125" style="11" customWidth="1"/>
    <col min="2" max="2" width="12.453125" style="16" bestFit="1" customWidth="1"/>
    <col min="3" max="3" width="56.7265625" customWidth="1"/>
    <col min="4" max="4" width="17.81640625" customWidth="1"/>
    <col min="5" max="5" width="13.7265625" hidden="1" customWidth="1"/>
    <col min="6" max="7" width="13.26953125" hidden="1" customWidth="1"/>
    <col min="8" max="8" width="19.54296875" bestFit="1" customWidth="1"/>
    <col min="9" max="9" width="23" bestFit="1" customWidth="1"/>
    <col min="10" max="10" width="14.54296875" customWidth="1"/>
    <col min="11" max="11" width="12.81640625" customWidth="1"/>
  </cols>
  <sheetData>
    <row r="1" spans="1:11" ht="18.5" customHeight="1" x14ac:dyDescent="0.35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1" ht="13.5" customHeight="1" x14ac:dyDescent="0.35">
      <c r="A2" s="35" t="s">
        <v>1</v>
      </c>
      <c r="B2" s="36" t="s">
        <v>2</v>
      </c>
      <c r="C2" s="35" t="s">
        <v>3</v>
      </c>
      <c r="D2" s="37" t="s">
        <v>4</v>
      </c>
      <c r="E2" s="35" t="s">
        <v>5</v>
      </c>
      <c r="F2" s="35"/>
      <c r="G2" s="37" t="s">
        <v>172</v>
      </c>
      <c r="H2" s="35" t="s">
        <v>6</v>
      </c>
      <c r="I2" s="35"/>
      <c r="J2" s="39" t="s">
        <v>7</v>
      </c>
      <c r="K2" s="39" t="s">
        <v>8</v>
      </c>
    </row>
    <row r="3" spans="1:11" x14ac:dyDescent="0.35">
      <c r="A3" s="35"/>
      <c r="B3" s="36"/>
      <c r="C3" s="35"/>
      <c r="D3" s="38"/>
      <c r="E3" s="1" t="s">
        <v>9</v>
      </c>
      <c r="F3" s="1" t="s">
        <v>10</v>
      </c>
      <c r="G3" s="38"/>
      <c r="H3" s="1" t="s">
        <v>9</v>
      </c>
      <c r="I3" s="1" t="s">
        <v>10</v>
      </c>
      <c r="J3" s="35"/>
      <c r="K3" s="35"/>
    </row>
    <row r="4" spans="1:11" x14ac:dyDescent="0.35">
      <c r="A4" s="2">
        <v>1</v>
      </c>
      <c r="B4" s="12">
        <v>45696</v>
      </c>
      <c r="C4" s="3" t="s">
        <v>11</v>
      </c>
      <c r="D4" s="4"/>
      <c r="E4" s="4"/>
      <c r="F4" s="4"/>
      <c r="G4" s="4"/>
      <c r="H4" s="4"/>
      <c r="I4" s="4"/>
      <c r="J4" s="4"/>
      <c r="K4" s="4"/>
    </row>
    <row r="5" spans="1:11" x14ac:dyDescent="0.35">
      <c r="A5" s="2">
        <v>2</v>
      </c>
      <c r="B5" s="13">
        <v>45698</v>
      </c>
      <c r="C5" s="5" t="s">
        <v>12</v>
      </c>
      <c r="D5" s="6"/>
      <c r="E5" s="7">
        <v>148050</v>
      </c>
      <c r="F5" s="7">
        <v>148549</v>
      </c>
      <c r="G5" s="7">
        <f>F5-E5+1</f>
        <v>500</v>
      </c>
      <c r="H5" s="6"/>
      <c r="I5" s="6"/>
      <c r="J5" s="6"/>
      <c r="K5" s="4"/>
    </row>
    <row r="6" spans="1:11" x14ac:dyDescent="0.35">
      <c r="A6" s="2">
        <v>3</v>
      </c>
      <c r="B6" s="12">
        <v>45699</v>
      </c>
      <c r="C6" s="4" t="s">
        <v>13</v>
      </c>
      <c r="D6" s="4" t="s">
        <v>14</v>
      </c>
      <c r="E6" s="4"/>
      <c r="F6" s="4"/>
      <c r="G6" s="4"/>
      <c r="H6" s="4">
        <v>148050</v>
      </c>
      <c r="I6" s="4">
        <v>148106</v>
      </c>
      <c r="J6" s="4">
        <f t="shared" ref="J6:J61" si="0">I6-H6+1</f>
        <v>57</v>
      </c>
      <c r="K6" s="4">
        <f>G5-J6</f>
        <v>443</v>
      </c>
    </row>
    <row r="7" spans="1:11" x14ac:dyDescent="0.35">
      <c r="A7" s="2">
        <v>4</v>
      </c>
      <c r="B7" s="12">
        <v>45699</v>
      </c>
      <c r="C7" s="4" t="s">
        <v>15</v>
      </c>
      <c r="D7" s="4" t="s">
        <v>16</v>
      </c>
      <c r="E7" s="4"/>
      <c r="F7" s="4"/>
      <c r="G7" s="4"/>
      <c r="H7" s="4">
        <v>148107</v>
      </c>
      <c r="I7" s="4">
        <v>148112</v>
      </c>
      <c r="J7" s="4">
        <f t="shared" si="0"/>
        <v>6</v>
      </c>
      <c r="K7" s="4">
        <f>K6-J7</f>
        <v>437</v>
      </c>
    </row>
    <row r="8" spans="1:11" x14ac:dyDescent="0.35">
      <c r="A8" s="2">
        <v>5</v>
      </c>
      <c r="B8" s="12">
        <v>45700</v>
      </c>
      <c r="C8" s="8" t="s">
        <v>17</v>
      </c>
      <c r="D8" s="4" t="s">
        <v>18</v>
      </c>
      <c r="E8" s="4"/>
      <c r="F8" s="4"/>
      <c r="G8" s="4"/>
      <c r="H8" s="4">
        <v>148113</v>
      </c>
      <c r="I8" s="4">
        <v>148117</v>
      </c>
      <c r="J8" s="4">
        <f t="shared" si="0"/>
        <v>5</v>
      </c>
      <c r="K8" s="4">
        <f t="shared" ref="K8:K70" si="1">K7-J8</f>
        <v>432</v>
      </c>
    </row>
    <row r="9" spans="1:11" x14ac:dyDescent="0.35">
      <c r="A9" s="2">
        <v>6</v>
      </c>
      <c r="B9" s="12">
        <v>45707</v>
      </c>
      <c r="C9" s="4" t="s">
        <v>19</v>
      </c>
      <c r="D9" s="4" t="s">
        <v>18</v>
      </c>
      <c r="E9" s="4"/>
      <c r="F9" s="4"/>
      <c r="G9" s="4"/>
      <c r="H9" s="4">
        <v>148118</v>
      </c>
      <c r="I9" s="4">
        <v>148121</v>
      </c>
      <c r="J9" s="4">
        <f t="shared" si="0"/>
        <v>4</v>
      </c>
      <c r="K9" s="4">
        <f t="shared" si="1"/>
        <v>428</v>
      </c>
    </row>
    <row r="10" spans="1:11" x14ac:dyDescent="0.35">
      <c r="A10" s="2">
        <v>7</v>
      </c>
      <c r="B10" s="12">
        <v>45708</v>
      </c>
      <c r="C10" s="4" t="s">
        <v>20</v>
      </c>
      <c r="D10" s="4" t="s">
        <v>21</v>
      </c>
      <c r="E10" s="4"/>
      <c r="F10" s="4"/>
      <c r="G10" s="4"/>
      <c r="H10" s="4">
        <v>148122</v>
      </c>
      <c r="I10" s="4">
        <v>148127</v>
      </c>
      <c r="J10" s="4">
        <f t="shared" si="0"/>
        <v>6</v>
      </c>
      <c r="K10" s="4">
        <f t="shared" si="1"/>
        <v>422</v>
      </c>
    </row>
    <row r="11" spans="1:11" x14ac:dyDescent="0.35">
      <c r="A11" s="2">
        <v>8</v>
      </c>
      <c r="B11" s="12">
        <v>45715</v>
      </c>
      <c r="C11" s="4" t="s">
        <v>22</v>
      </c>
      <c r="D11" s="4" t="s">
        <v>23</v>
      </c>
      <c r="E11" s="4"/>
      <c r="F11" s="4"/>
      <c r="G11" s="4"/>
      <c r="H11" s="4">
        <v>148128</v>
      </c>
      <c r="I11" s="4">
        <v>148129</v>
      </c>
      <c r="J11" s="4">
        <f t="shared" si="0"/>
        <v>2</v>
      </c>
      <c r="K11" s="4">
        <f t="shared" si="1"/>
        <v>420</v>
      </c>
    </row>
    <row r="12" spans="1:11" x14ac:dyDescent="0.35">
      <c r="A12" s="2">
        <v>9</v>
      </c>
      <c r="B12" s="12">
        <v>45719</v>
      </c>
      <c r="C12" s="4" t="s">
        <v>13</v>
      </c>
      <c r="D12" s="4" t="s">
        <v>24</v>
      </c>
      <c r="E12" s="4"/>
      <c r="F12" s="4"/>
      <c r="G12" s="4"/>
      <c r="H12" s="4">
        <v>148130</v>
      </c>
      <c r="I12" s="4">
        <v>148130</v>
      </c>
      <c r="J12" s="4">
        <f t="shared" si="0"/>
        <v>1</v>
      </c>
      <c r="K12" s="4">
        <f t="shared" si="1"/>
        <v>419</v>
      </c>
    </row>
    <row r="13" spans="1:11" x14ac:dyDescent="0.35">
      <c r="A13" s="2">
        <v>10</v>
      </c>
      <c r="B13" s="12">
        <v>45719</v>
      </c>
      <c r="C13" s="4" t="s">
        <v>25</v>
      </c>
      <c r="D13" s="4" t="s">
        <v>26</v>
      </c>
      <c r="E13" s="4"/>
      <c r="F13" s="4"/>
      <c r="G13" s="4"/>
      <c r="H13" s="4">
        <v>148131</v>
      </c>
      <c r="I13" s="4">
        <v>148133</v>
      </c>
      <c r="J13" s="4">
        <f t="shared" si="0"/>
        <v>3</v>
      </c>
      <c r="K13" s="4">
        <f t="shared" si="1"/>
        <v>416</v>
      </c>
    </row>
    <row r="14" spans="1:11" x14ac:dyDescent="0.35">
      <c r="A14" s="2">
        <v>11</v>
      </c>
      <c r="B14" s="12">
        <v>45723</v>
      </c>
      <c r="C14" s="4" t="s">
        <v>27</v>
      </c>
      <c r="D14" s="4" t="s">
        <v>28</v>
      </c>
      <c r="E14" s="4"/>
      <c r="F14" s="4"/>
      <c r="G14" s="4"/>
      <c r="H14" s="4">
        <v>148134</v>
      </c>
      <c r="I14" s="4">
        <v>148146</v>
      </c>
      <c r="J14" s="4">
        <f t="shared" si="0"/>
        <v>13</v>
      </c>
      <c r="K14" s="4">
        <f t="shared" si="1"/>
        <v>403</v>
      </c>
    </row>
    <row r="15" spans="1:11" x14ac:dyDescent="0.35">
      <c r="A15" s="2">
        <v>12</v>
      </c>
      <c r="B15" s="12">
        <v>45726</v>
      </c>
      <c r="C15" s="4" t="s">
        <v>29</v>
      </c>
      <c r="D15" s="4" t="s">
        <v>30</v>
      </c>
      <c r="E15" s="4"/>
      <c r="F15" s="4"/>
      <c r="G15" s="4"/>
      <c r="H15" s="4">
        <v>148147</v>
      </c>
      <c r="I15" s="4">
        <v>148147</v>
      </c>
      <c r="J15" s="4">
        <f t="shared" si="0"/>
        <v>1</v>
      </c>
      <c r="K15" s="4">
        <f t="shared" si="1"/>
        <v>402</v>
      </c>
    </row>
    <row r="16" spans="1:11" x14ac:dyDescent="0.35">
      <c r="A16" s="2">
        <v>13</v>
      </c>
      <c r="B16" s="12">
        <v>45727</v>
      </c>
      <c r="C16" s="4" t="s">
        <v>31</v>
      </c>
      <c r="D16" s="4" t="s">
        <v>32</v>
      </c>
      <c r="E16" s="4"/>
      <c r="F16" s="4"/>
      <c r="G16" s="4"/>
      <c r="H16" s="4">
        <v>148148</v>
      </c>
      <c r="I16" s="4">
        <v>148160</v>
      </c>
      <c r="J16" s="4">
        <f t="shared" si="0"/>
        <v>13</v>
      </c>
      <c r="K16" s="4">
        <f t="shared" si="1"/>
        <v>389</v>
      </c>
    </row>
    <row r="17" spans="1:11" x14ac:dyDescent="0.35">
      <c r="A17" s="2">
        <v>14</v>
      </c>
      <c r="B17" s="12">
        <v>45730</v>
      </c>
      <c r="C17" s="4" t="s">
        <v>33</v>
      </c>
      <c r="D17" s="4" t="s">
        <v>34</v>
      </c>
      <c r="E17" s="4"/>
      <c r="F17" s="4"/>
      <c r="G17" s="4"/>
      <c r="H17" s="4">
        <v>148161</v>
      </c>
      <c r="I17" s="4">
        <v>148177</v>
      </c>
      <c r="J17" s="4">
        <f t="shared" si="0"/>
        <v>17</v>
      </c>
      <c r="K17" s="4">
        <f t="shared" si="1"/>
        <v>372</v>
      </c>
    </row>
    <row r="18" spans="1:11" x14ac:dyDescent="0.35">
      <c r="A18" s="2">
        <v>15</v>
      </c>
      <c r="B18" s="12">
        <v>45761</v>
      </c>
      <c r="C18" s="4" t="s">
        <v>35</v>
      </c>
      <c r="D18" s="4" t="s">
        <v>36</v>
      </c>
      <c r="E18" s="4"/>
      <c r="F18" s="4"/>
      <c r="G18" s="4"/>
      <c r="H18" s="4">
        <v>148178</v>
      </c>
      <c r="I18" s="4">
        <v>148178</v>
      </c>
      <c r="J18" s="4">
        <f t="shared" si="0"/>
        <v>1</v>
      </c>
      <c r="K18" s="4">
        <f t="shared" si="1"/>
        <v>371</v>
      </c>
    </row>
    <row r="19" spans="1:11" x14ac:dyDescent="0.35">
      <c r="A19" s="2">
        <v>16</v>
      </c>
      <c r="B19" s="12">
        <v>45761</v>
      </c>
      <c r="C19" s="4" t="s">
        <v>37</v>
      </c>
      <c r="D19" s="4" t="s">
        <v>38</v>
      </c>
      <c r="E19" s="4"/>
      <c r="F19" s="4"/>
      <c r="G19" s="4"/>
      <c r="H19" s="4">
        <v>148179</v>
      </c>
      <c r="I19" s="4">
        <v>148181</v>
      </c>
      <c r="J19" s="4">
        <f t="shared" si="0"/>
        <v>3</v>
      </c>
      <c r="K19" s="4">
        <f t="shared" si="1"/>
        <v>368</v>
      </c>
    </row>
    <row r="20" spans="1:11" x14ac:dyDescent="0.35">
      <c r="A20" s="2">
        <v>17</v>
      </c>
      <c r="B20" s="12">
        <v>45761</v>
      </c>
      <c r="C20" s="4" t="s">
        <v>39</v>
      </c>
      <c r="D20" s="4" t="s">
        <v>40</v>
      </c>
      <c r="E20" s="4"/>
      <c r="F20" s="4"/>
      <c r="G20" s="4"/>
      <c r="H20" s="4">
        <v>148182</v>
      </c>
      <c r="I20" s="4">
        <v>148188</v>
      </c>
      <c r="J20" s="4">
        <f t="shared" si="0"/>
        <v>7</v>
      </c>
      <c r="K20" s="4">
        <f t="shared" si="1"/>
        <v>361</v>
      </c>
    </row>
    <row r="21" spans="1:11" x14ac:dyDescent="0.35">
      <c r="A21" s="2">
        <v>18</v>
      </c>
      <c r="B21" s="12">
        <v>45764</v>
      </c>
      <c r="C21" s="4" t="s">
        <v>41</v>
      </c>
      <c r="D21" s="4" t="s">
        <v>42</v>
      </c>
      <c r="E21" s="4"/>
      <c r="F21" s="4"/>
      <c r="G21" s="4"/>
      <c r="H21" s="4">
        <v>148189</v>
      </c>
      <c r="I21" s="4">
        <v>148194</v>
      </c>
      <c r="J21" s="4">
        <f t="shared" si="0"/>
        <v>6</v>
      </c>
      <c r="K21" s="4">
        <f t="shared" si="1"/>
        <v>355</v>
      </c>
    </row>
    <row r="22" spans="1:11" x14ac:dyDescent="0.35">
      <c r="A22" s="2">
        <v>19</v>
      </c>
      <c r="B22" s="12">
        <v>45764</v>
      </c>
      <c r="C22" s="4" t="s">
        <v>43</v>
      </c>
      <c r="D22" s="4" t="s">
        <v>44</v>
      </c>
      <c r="E22" s="4"/>
      <c r="F22" s="4"/>
      <c r="G22" s="4"/>
      <c r="H22" s="4">
        <v>148195</v>
      </c>
      <c r="I22" s="4">
        <v>148197</v>
      </c>
      <c r="J22" s="4">
        <f t="shared" si="0"/>
        <v>3</v>
      </c>
      <c r="K22" s="4">
        <f t="shared" si="1"/>
        <v>352</v>
      </c>
    </row>
    <row r="23" spans="1:11" x14ac:dyDescent="0.35">
      <c r="A23" s="2">
        <v>20</v>
      </c>
      <c r="B23" s="12"/>
      <c r="C23" s="4" t="s">
        <v>45</v>
      </c>
      <c r="D23" s="4" t="s">
        <v>46</v>
      </c>
      <c r="E23" s="4"/>
      <c r="F23" s="4"/>
      <c r="G23" s="4"/>
      <c r="H23" s="4">
        <v>148198</v>
      </c>
      <c r="I23" s="4">
        <v>148198</v>
      </c>
      <c r="J23" s="4">
        <f t="shared" si="0"/>
        <v>1</v>
      </c>
      <c r="K23" s="4">
        <f t="shared" si="1"/>
        <v>351</v>
      </c>
    </row>
    <row r="24" spans="1:11" x14ac:dyDescent="0.35">
      <c r="A24" s="2">
        <v>21</v>
      </c>
      <c r="B24" s="12"/>
      <c r="C24" s="4" t="s">
        <v>47</v>
      </c>
      <c r="D24" s="4" t="s">
        <v>48</v>
      </c>
      <c r="E24" s="4"/>
      <c r="F24" s="4"/>
      <c r="G24" s="4"/>
      <c r="H24" s="4">
        <v>148199</v>
      </c>
      <c r="I24" s="4">
        <v>148210</v>
      </c>
      <c r="J24" s="4">
        <f t="shared" si="0"/>
        <v>12</v>
      </c>
      <c r="K24" s="4">
        <f t="shared" si="1"/>
        <v>339</v>
      </c>
    </row>
    <row r="25" spans="1:11" x14ac:dyDescent="0.35">
      <c r="A25" s="2">
        <v>22</v>
      </c>
      <c r="B25" s="14"/>
      <c r="C25" s="9"/>
      <c r="D25" s="9"/>
      <c r="E25" s="9"/>
      <c r="F25" s="9"/>
      <c r="G25" s="9"/>
      <c r="H25" s="9">
        <v>148211</v>
      </c>
      <c r="I25" s="9">
        <v>148211</v>
      </c>
      <c r="J25" s="9">
        <f t="shared" si="0"/>
        <v>1</v>
      </c>
      <c r="K25" s="9">
        <f t="shared" si="1"/>
        <v>338</v>
      </c>
    </row>
    <row r="26" spans="1:11" x14ac:dyDescent="0.35">
      <c r="A26" s="2">
        <v>23</v>
      </c>
      <c r="B26" s="12"/>
      <c r="C26" s="4" t="s">
        <v>49</v>
      </c>
      <c r="D26" s="4" t="s">
        <v>50</v>
      </c>
      <c r="E26" s="4"/>
      <c r="F26" s="4"/>
      <c r="G26" s="4"/>
      <c r="H26" s="4">
        <v>148212</v>
      </c>
      <c r="I26" s="4">
        <v>148212</v>
      </c>
      <c r="J26" s="4">
        <f t="shared" si="0"/>
        <v>1</v>
      </c>
      <c r="K26" s="4">
        <f t="shared" si="1"/>
        <v>337</v>
      </c>
    </row>
    <row r="27" spans="1:11" x14ac:dyDescent="0.35">
      <c r="A27" s="2">
        <v>24</v>
      </c>
      <c r="B27" s="12"/>
      <c r="C27" s="4" t="s">
        <v>51</v>
      </c>
      <c r="D27" s="4" t="s">
        <v>52</v>
      </c>
      <c r="E27" s="4"/>
      <c r="F27" s="4"/>
      <c r="G27" s="4"/>
      <c r="H27" s="4">
        <v>148213</v>
      </c>
      <c r="I27" s="4">
        <v>148213</v>
      </c>
      <c r="J27" s="4">
        <f t="shared" si="0"/>
        <v>1</v>
      </c>
      <c r="K27" s="4">
        <f t="shared" si="1"/>
        <v>336</v>
      </c>
    </row>
    <row r="28" spans="1:11" x14ac:dyDescent="0.35">
      <c r="A28" s="2">
        <v>25</v>
      </c>
      <c r="B28" s="12"/>
      <c r="C28" s="4" t="s">
        <v>53</v>
      </c>
      <c r="D28" s="4" t="s">
        <v>54</v>
      </c>
      <c r="E28" s="4"/>
      <c r="F28" s="4"/>
      <c r="G28" s="4"/>
      <c r="H28" s="4">
        <v>148214</v>
      </c>
      <c r="I28" s="4">
        <v>148214</v>
      </c>
      <c r="J28" s="4">
        <f t="shared" si="0"/>
        <v>1</v>
      </c>
      <c r="K28" s="4">
        <f t="shared" si="1"/>
        <v>335</v>
      </c>
    </row>
    <row r="29" spans="1:11" x14ac:dyDescent="0.35">
      <c r="A29" s="2">
        <v>26</v>
      </c>
      <c r="B29" s="14"/>
      <c r="C29" s="9"/>
      <c r="D29" s="9"/>
      <c r="E29" s="9"/>
      <c r="F29" s="9"/>
      <c r="G29" s="9"/>
      <c r="H29" s="9">
        <v>148215</v>
      </c>
      <c r="I29" s="9">
        <v>148217</v>
      </c>
      <c r="J29" s="9">
        <f t="shared" si="0"/>
        <v>3</v>
      </c>
      <c r="K29" s="9">
        <f t="shared" si="1"/>
        <v>332</v>
      </c>
    </row>
    <row r="30" spans="1:11" x14ac:dyDescent="0.35">
      <c r="A30" s="2">
        <v>27</v>
      </c>
      <c r="B30" s="12"/>
      <c r="C30" s="4" t="s">
        <v>55</v>
      </c>
      <c r="D30" s="4" t="s">
        <v>56</v>
      </c>
      <c r="E30" s="4"/>
      <c r="F30" s="4"/>
      <c r="G30" s="4"/>
      <c r="H30" s="4">
        <v>148218</v>
      </c>
      <c r="I30" s="4">
        <v>148219</v>
      </c>
      <c r="J30" s="4">
        <f t="shared" si="0"/>
        <v>2</v>
      </c>
      <c r="K30" s="4">
        <f t="shared" si="1"/>
        <v>330</v>
      </c>
    </row>
    <row r="31" spans="1:11" x14ac:dyDescent="0.35">
      <c r="A31" s="2">
        <v>28</v>
      </c>
      <c r="B31" s="12"/>
      <c r="C31" s="4" t="s">
        <v>57</v>
      </c>
      <c r="D31" s="4" t="s">
        <v>58</v>
      </c>
      <c r="E31" s="4"/>
      <c r="F31" s="4"/>
      <c r="G31" s="4"/>
      <c r="H31" s="4">
        <v>148220</v>
      </c>
      <c r="I31" s="4">
        <v>148221</v>
      </c>
      <c r="J31" s="4">
        <f t="shared" si="0"/>
        <v>2</v>
      </c>
      <c r="K31" s="4">
        <f t="shared" si="1"/>
        <v>328</v>
      </c>
    </row>
    <row r="32" spans="1:11" x14ac:dyDescent="0.35">
      <c r="A32" s="2">
        <v>29</v>
      </c>
      <c r="B32" s="12"/>
      <c r="C32" s="4" t="s">
        <v>59</v>
      </c>
      <c r="D32" s="4" t="s">
        <v>60</v>
      </c>
      <c r="E32" s="4"/>
      <c r="F32" s="4"/>
      <c r="G32" s="4"/>
      <c r="H32" s="4">
        <v>148222</v>
      </c>
      <c r="I32" s="4">
        <v>148222</v>
      </c>
      <c r="J32" s="4">
        <f t="shared" si="0"/>
        <v>1</v>
      </c>
      <c r="K32" s="4">
        <f t="shared" si="1"/>
        <v>327</v>
      </c>
    </row>
    <row r="33" spans="1:11" x14ac:dyDescent="0.35">
      <c r="A33" s="2">
        <v>30</v>
      </c>
      <c r="B33" s="12"/>
      <c r="C33" s="4" t="s">
        <v>61</v>
      </c>
      <c r="D33" s="4" t="s">
        <v>62</v>
      </c>
      <c r="E33" s="4"/>
      <c r="F33" s="4"/>
      <c r="G33" s="4"/>
      <c r="H33" s="4">
        <v>148223</v>
      </c>
      <c r="I33" s="4">
        <v>148226</v>
      </c>
      <c r="J33" s="4">
        <f t="shared" si="0"/>
        <v>4</v>
      </c>
      <c r="K33" s="4">
        <f t="shared" si="1"/>
        <v>323</v>
      </c>
    </row>
    <row r="34" spans="1:11" x14ac:dyDescent="0.35">
      <c r="A34" s="2">
        <v>31</v>
      </c>
      <c r="B34" s="12"/>
      <c r="C34" s="4" t="s">
        <v>20</v>
      </c>
      <c r="D34" s="4" t="s">
        <v>63</v>
      </c>
      <c r="E34" s="4"/>
      <c r="F34" s="4"/>
      <c r="G34" s="4"/>
      <c r="H34" s="4">
        <v>148227</v>
      </c>
      <c r="I34" s="4">
        <v>148231</v>
      </c>
      <c r="J34" s="4">
        <f t="shared" si="0"/>
        <v>5</v>
      </c>
      <c r="K34" s="4">
        <f t="shared" si="1"/>
        <v>318</v>
      </c>
    </row>
    <row r="35" spans="1:11" x14ac:dyDescent="0.35">
      <c r="A35" s="2">
        <v>32</v>
      </c>
      <c r="B35" s="12"/>
      <c r="C35" s="4" t="s">
        <v>64</v>
      </c>
      <c r="D35" s="4" t="s">
        <v>65</v>
      </c>
      <c r="E35" s="4"/>
      <c r="F35" s="4"/>
      <c r="G35" s="4"/>
      <c r="H35" s="4">
        <v>148232</v>
      </c>
      <c r="I35" s="4">
        <v>148234</v>
      </c>
      <c r="J35" s="4">
        <f t="shared" si="0"/>
        <v>3</v>
      </c>
      <c r="K35" s="4">
        <f t="shared" si="1"/>
        <v>315</v>
      </c>
    </row>
    <row r="36" spans="1:11" x14ac:dyDescent="0.35">
      <c r="A36" s="2">
        <v>33</v>
      </c>
      <c r="B36" s="12"/>
      <c r="C36" s="4" t="s">
        <v>49</v>
      </c>
      <c r="D36" s="4" t="s">
        <v>50</v>
      </c>
      <c r="E36" s="4"/>
      <c r="F36" s="4"/>
      <c r="G36" s="4"/>
      <c r="H36" s="4">
        <v>148235</v>
      </c>
      <c r="I36" s="4">
        <v>148247</v>
      </c>
      <c r="J36" s="4">
        <f t="shared" si="0"/>
        <v>13</v>
      </c>
      <c r="K36" s="4">
        <f t="shared" si="1"/>
        <v>302</v>
      </c>
    </row>
    <row r="37" spans="1:11" x14ac:dyDescent="0.35">
      <c r="A37" s="2">
        <v>34</v>
      </c>
      <c r="B37" s="12"/>
      <c r="C37" s="4" t="s">
        <v>66</v>
      </c>
      <c r="D37" s="4" t="s">
        <v>67</v>
      </c>
      <c r="E37" s="4"/>
      <c r="F37" s="4"/>
      <c r="G37" s="4"/>
      <c r="H37" s="4">
        <v>148248</v>
      </c>
      <c r="I37" s="4">
        <v>148248</v>
      </c>
      <c r="J37" s="4">
        <f t="shared" si="0"/>
        <v>1</v>
      </c>
      <c r="K37" s="4">
        <f t="shared" si="1"/>
        <v>301</v>
      </c>
    </row>
    <row r="38" spans="1:11" x14ac:dyDescent="0.35">
      <c r="A38" s="2">
        <v>35</v>
      </c>
      <c r="B38" s="12"/>
      <c r="C38" s="4" t="s">
        <v>68</v>
      </c>
      <c r="D38" s="4" t="s">
        <v>69</v>
      </c>
      <c r="E38" s="4"/>
      <c r="F38" s="4"/>
      <c r="G38" s="4"/>
      <c r="H38" s="4">
        <v>148249</v>
      </c>
      <c r="I38" s="4">
        <v>148252</v>
      </c>
      <c r="J38" s="4">
        <f t="shared" si="0"/>
        <v>4</v>
      </c>
      <c r="K38" s="4">
        <f t="shared" si="1"/>
        <v>297</v>
      </c>
    </row>
    <row r="39" spans="1:11" x14ac:dyDescent="0.35">
      <c r="A39" s="2">
        <v>36</v>
      </c>
      <c r="B39" s="12"/>
      <c r="C39" s="4" t="s">
        <v>70</v>
      </c>
      <c r="D39" s="4" t="s">
        <v>71</v>
      </c>
      <c r="E39" s="4"/>
      <c r="F39" s="4"/>
      <c r="G39" s="4"/>
      <c r="H39" s="4">
        <v>148253</v>
      </c>
      <c r="I39" s="4">
        <v>148254</v>
      </c>
      <c r="J39" s="4">
        <f t="shared" si="0"/>
        <v>2</v>
      </c>
      <c r="K39" s="4">
        <f t="shared" si="1"/>
        <v>295</v>
      </c>
    </row>
    <row r="40" spans="1:11" x14ac:dyDescent="0.35">
      <c r="A40" s="2">
        <v>37</v>
      </c>
      <c r="B40" s="12"/>
      <c r="C40" s="4" t="s">
        <v>72</v>
      </c>
      <c r="D40" s="4" t="s">
        <v>73</v>
      </c>
      <c r="E40" s="4"/>
      <c r="F40" s="4"/>
      <c r="G40" s="4"/>
      <c r="H40" s="4">
        <v>148255</v>
      </c>
      <c r="I40" s="4">
        <v>148257</v>
      </c>
      <c r="J40" s="4">
        <f t="shared" si="0"/>
        <v>3</v>
      </c>
      <c r="K40" s="4">
        <f t="shared" si="1"/>
        <v>292</v>
      </c>
    </row>
    <row r="41" spans="1:11" x14ac:dyDescent="0.35">
      <c r="A41" s="2">
        <v>38</v>
      </c>
      <c r="B41" s="12"/>
      <c r="C41" s="4" t="s">
        <v>74</v>
      </c>
      <c r="D41" s="4" t="s">
        <v>75</v>
      </c>
      <c r="E41" s="4"/>
      <c r="F41" s="4"/>
      <c r="G41" s="4"/>
      <c r="H41" s="4">
        <v>148258</v>
      </c>
      <c r="I41" s="4">
        <v>148261</v>
      </c>
      <c r="J41" s="4">
        <f t="shared" si="0"/>
        <v>4</v>
      </c>
      <c r="K41" s="4">
        <f t="shared" si="1"/>
        <v>288</v>
      </c>
    </row>
    <row r="42" spans="1:11" x14ac:dyDescent="0.35">
      <c r="A42" s="2">
        <v>39</v>
      </c>
      <c r="B42" s="12"/>
      <c r="C42" s="4" t="s">
        <v>49</v>
      </c>
      <c r="D42" s="4" t="s">
        <v>50</v>
      </c>
      <c r="E42" s="4"/>
      <c r="F42" s="4"/>
      <c r="G42" s="4"/>
      <c r="H42" s="4">
        <v>148262</v>
      </c>
      <c r="I42" s="4">
        <v>148262</v>
      </c>
      <c r="J42" s="4">
        <f t="shared" si="0"/>
        <v>1</v>
      </c>
      <c r="K42" s="4">
        <f t="shared" si="1"/>
        <v>287</v>
      </c>
    </row>
    <row r="43" spans="1:11" x14ac:dyDescent="0.35">
      <c r="A43" s="2">
        <v>40</v>
      </c>
      <c r="B43" s="15"/>
      <c r="C43" s="10" t="s">
        <v>76</v>
      </c>
      <c r="D43" s="10" t="s">
        <v>73</v>
      </c>
      <c r="E43" s="10"/>
      <c r="F43" s="10"/>
      <c r="G43" s="10"/>
      <c r="H43" s="10">
        <v>148263</v>
      </c>
      <c r="I43" s="10">
        <v>148264</v>
      </c>
      <c r="J43" s="10">
        <f t="shared" si="0"/>
        <v>2</v>
      </c>
      <c r="K43" s="10">
        <f t="shared" si="1"/>
        <v>285</v>
      </c>
    </row>
    <row r="44" spans="1:11" x14ac:dyDescent="0.35">
      <c r="A44" s="2">
        <v>41</v>
      </c>
      <c r="B44" s="12"/>
      <c r="C44" s="4" t="s">
        <v>72</v>
      </c>
      <c r="D44" s="4" t="s">
        <v>73</v>
      </c>
      <c r="E44" s="4"/>
      <c r="F44" s="4"/>
      <c r="G44" s="4"/>
      <c r="H44" s="4">
        <v>148265</v>
      </c>
      <c r="I44" s="4">
        <v>148285</v>
      </c>
      <c r="J44" s="4">
        <f t="shared" si="0"/>
        <v>21</v>
      </c>
      <c r="K44" s="4">
        <f t="shared" si="1"/>
        <v>264</v>
      </c>
    </row>
    <row r="45" spans="1:11" x14ac:dyDescent="0.35">
      <c r="A45" s="2">
        <v>42</v>
      </c>
      <c r="B45" s="12"/>
      <c r="C45" s="4" t="s">
        <v>77</v>
      </c>
      <c r="D45" s="4" t="s">
        <v>78</v>
      </c>
      <c r="E45" s="4"/>
      <c r="F45" s="4"/>
      <c r="G45" s="4"/>
      <c r="H45" s="4">
        <v>148286</v>
      </c>
      <c r="I45" s="4">
        <v>148295</v>
      </c>
      <c r="J45" s="4">
        <f t="shared" si="0"/>
        <v>10</v>
      </c>
      <c r="K45" s="4">
        <f t="shared" si="1"/>
        <v>254</v>
      </c>
    </row>
    <row r="46" spans="1:11" x14ac:dyDescent="0.35">
      <c r="A46" s="2">
        <v>43</v>
      </c>
      <c r="B46" s="12">
        <v>45833</v>
      </c>
      <c r="C46" s="4" t="s">
        <v>79</v>
      </c>
      <c r="D46" s="4" t="s">
        <v>36</v>
      </c>
      <c r="E46" s="4"/>
      <c r="F46" s="4"/>
      <c r="G46" s="4"/>
      <c r="H46" s="4">
        <v>148296</v>
      </c>
      <c r="I46" s="4">
        <v>148296</v>
      </c>
      <c r="J46" s="4">
        <f t="shared" si="0"/>
        <v>1</v>
      </c>
      <c r="K46" s="4">
        <f t="shared" si="1"/>
        <v>253</v>
      </c>
    </row>
    <row r="47" spans="1:11" x14ac:dyDescent="0.35">
      <c r="A47" s="2">
        <v>44</v>
      </c>
      <c r="B47" s="12">
        <v>45838</v>
      </c>
      <c r="C47" s="4" t="s">
        <v>37</v>
      </c>
      <c r="D47" s="4" t="s">
        <v>38</v>
      </c>
      <c r="E47" s="4"/>
      <c r="F47" s="4"/>
      <c r="G47" s="4"/>
      <c r="H47" s="4">
        <v>148297</v>
      </c>
      <c r="I47" s="4">
        <v>148297</v>
      </c>
      <c r="J47" s="4">
        <f t="shared" si="0"/>
        <v>1</v>
      </c>
      <c r="K47" s="4">
        <f t="shared" si="1"/>
        <v>252</v>
      </c>
    </row>
    <row r="48" spans="1:11" x14ac:dyDescent="0.35">
      <c r="A48" s="2">
        <v>45</v>
      </c>
      <c r="B48" s="12">
        <v>45839</v>
      </c>
      <c r="C48" s="4" t="s">
        <v>68</v>
      </c>
      <c r="D48" s="4" t="s">
        <v>69</v>
      </c>
      <c r="E48" s="4"/>
      <c r="F48" s="4"/>
      <c r="G48" s="4"/>
      <c r="H48" s="4">
        <v>148298</v>
      </c>
      <c r="I48" s="4">
        <v>148299</v>
      </c>
      <c r="J48" s="4">
        <f t="shared" si="0"/>
        <v>2</v>
      </c>
      <c r="K48" s="4">
        <f t="shared" si="1"/>
        <v>250</v>
      </c>
    </row>
    <row r="49" spans="1:11" x14ac:dyDescent="0.35">
      <c r="A49" s="2">
        <v>46</v>
      </c>
      <c r="B49" s="12">
        <v>45839</v>
      </c>
      <c r="C49" s="4" t="s">
        <v>80</v>
      </c>
      <c r="D49" s="4" t="s">
        <v>81</v>
      </c>
      <c r="E49" s="4"/>
      <c r="F49" s="4"/>
      <c r="G49" s="4"/>
      <c r="H49" s="4">
        <v>148300</v>
      </c>
      <c r="I49" s="4">
        <v>148306</v>
      </c>
      <c r="J49" s="4">
        <f t="shared" si="0"/>
        <v>7</v>
      </c>
      <c r="K49" s="4">
        <f t="shared" si="1"/>
        <v>243</v>
      </c>
    </row>
    <row r="50" spans="1:11" x14ac:dyDescent="0.35">
      <c r="A50" s="2">
        <v>47</v>
      </c>
      <c r="B50" s="12">
        <v>45846</v>
      </c>
      <c r="C50" s="4" t="s">
        <v>82</v>
      </c>
      <c r="D50" s="4" t="s">
        <v>83</v>
      </c>
      <c r="E50" s="4"/>
      <c r="F50" s="4"/>
      <c r="G50" s="4"/>
      <c r="H50" s="4">
        <v>148307</v>
      </c>
      <c r="I50" s="4">
        <v>148320</v>
      </c>
      <c r="J50" s="4">
        <f t="shared" si="0"/>
        <v>14</v>
      </c>
      <c r="K50" s="4">
        <f t="shared" si="1"/>
        <v>229</v>
      </c>
    </row>
    <row r="51" spans="1:11" x14ac:dyDescent="0.35">
      <c r="A51" s="2">
        <v>48</v>
      </c>
      <c r="B51" s="14"/>
      <c r="C51" s="9"/>
      <c r="D51" s="9"/>
      <c r="E51" s="9"/>
      <c r="F51" s="9"/>
      <c r="G51" s="9"/>
      <c r="H51" s="9">
        <v>148321</v>
      </c>
      <c r="I51" s="9">
        <v>148322</v>
      </c>
      <c r="J51" s="9">
        <f t="shared" si="0"/>
        <v>2</v>
      </c>
      <c r="K51" s="9">
        <f t="shared" si="1"/>
        <v>227</v>
      </c>
    </row>
    <row r="52" spans="1:11" x14ac:dyDescent="0.35">
      <c r="A52" s="2">
        <v>49</v>
      </c>
      <c r="B52" s="12">
        <v>45846</v>
      </c>
      <c r="C52" s="4" t="s">
        <v>84</v>
      </c>
      <c r="D52" s="4" t="s">
        <v>85</v>
      </c>
      <c r="E52" s="4"/>
      <c r="F52" s="4"/>
      <c r="G52" s="4"/>
      <c r="H52" s="4">
        <v>148323</v>
      </c>
      <c r="I52" s="4">
        <v>148323</v>
      </c>
      <c r="J52" s="4">
        <f t="shared" si="0"/>
        <v>1</v>
      </c>
      <c r="K52" s="4">
        <f t="shared" si="1"/>
        <v>226</v>
      </c>
    </row>
    <row r="53" spans="1:11" x14ac:dyDescent="0.35">
      <c r="A53" s="2">
        <v>50</v>
      </c>
      <c r="B53" s="12">
        <v>45846</v>
      </c>
      <c r="C53" s="4" t="s">
        <v>86</v>
      </c>
      <c r="D53" s="4" t="s">
        <v>87</v>
      </c>
      <c r="E53" s="4"/>
      <c r="F53" s="4"/>
      <c r="G53" s="4"/>
      <c r="H53" s="4">
        <v>148324</v>
      </c>
      <c r="I53" s="4">
        <v>148328</v>
      </c>
      <c r="J53" s="4">
        <f t="shared" si="0"/>
        <v>5</v>
      </c>
      <c r="K53" s="4">
        <f t="shared" si="1"/>
        <v>221</v>
      </c>
    </row>
    <row r="54" spans="1:11" x14ac:dyDescent="0.35">
      <c r="A54" s="2">
        <v>51</v>
      </c>
      <c r="B54" s="12">
        <v>45846</v>
      </c>
      <c r="C54" s="4" t="s">
        <v>37</v>
      </c>
      <c r="D54" s="4" t="s">
        <v>38</v>
      </c>
      <c r="E54" s="4"/>
      <c r="F54" s="4"/>
      <c r="G54" s="4"/>
      <c r="H54" s="4">
        <v>148329</v>
      </c>
      <c r="I54" s="4">
        <v>148329</v>
      </c>
      <c r="J54" s="4">
        <f t="shared" si="0"/>
        <v>1</v>
      </c>
      <c r="K54" s="4">
        <f t="shared" si="1"/>
        <v>220</v>
      </c>
    </row>
    <row r="55" spans="1:11" x14ac:dyDescent="0.35">
      <c r="A55" s="2">
        <v>52</v>
      </c>
      <c r="B55" s="12">
        <v>45846</v>
      </c>
      <c r="C55" s="4" t="s">
        <v>88</v>
      </c>
      <c r="D55" s="4" t="s">
        <v>89</v>
      </c>
      <c r="E55" s="4"/>
      <c r="F55" s="4"/>
      <c r="G55" s="4"/>
      <c r="H55" s="4">
        <v>148330</v>
      </c>
      <c r="I55" s="4">
        <v>148332</v>
      </c>
      <c r="J55" s="4">
        <f t="shared" si="0"/>
        <v>3</v>
      </c>
      <c r="K55" s="4">
        <f t="shared" si="1"/>
        <v>217</v>
      </c>
    </row>
    <row r="56" spans="1:11" x14ac:dyDescent="0.35">
      <c r="A56" s="2">
        <v>53</v>
      </c>
      <c r="B56" s="12">
        <v>45846</v>
      </c>
      <c r="C56" s="4" t="s">
        <v>90</v>
      </c>
      <c r="D56" s="4" t="s">
        <v>91</v>
      </c>
      <c r="E56" s="4"/>
      <c r="F56" s="4"/>
      <c r="G56" s="4"/>
      <c r="H56" s="4">
        <v>148333</v>
      </c>
      <c r="I56" s="4">
        <v>148333</v>
      </c>
      <c r="J56" s="4">
        <f t="shared" si="0"/>
        <v>1</v>
      </c>
      <c r="K56" s="4">
        <f t="shared" si="1"/>
        <v>216</v>
      </c>
    </row>
    <row r="57" spans="1:11" x14ac:dyDescent="0.35">
      <c r="A57" s="2">
        <v>54</v>
      </c>
      <c r="B57" s="12">
        <v>45846</v>
      </c>
      <c r="C57" s="4" t="s">
        <v>92</v>
      </c>
      <c r="D57" s="4" t="s">
        <v>93</v>
      </c>
      <c r="E57" s="4"/>
      <c r="F57" s="4"/>
      <c r="G57" s="4"/>
      <c r="H57" s="4">
        <v>148334</v>
      </c>
      <c r="I57" s="4">
        <v>148334</v>
      </c>
      <c r="J57" s="4">
        <f t="shared" si="0"/>
        <v>1</v>
      </c>
      <c r="K57" s="4">
        <f t="shared" si="1"/>
        <v>215</v>
      </c>
    </row>
    <row r="58" spans="1:11" x14ac:dyDescent="0.35">
      <c r="A58" s="2">
        <v>55</v>
      </c>
      <c r="B58" s="12">
        <v>45852</v>
      </c>
      <c r="C58" s="4" t="s">
        <v>94</v>
      </c>
      <c r="D58" s="4" t="s">
        <v>95</v>
      </c>
      <c r="E58" s="4"/>
      <c r="F58" s="4"/>
      <c r="G58" s="4"/>
      <c r="H58" s="4">
        <v>148335</v>
      </c>
      <c r="I58" s="4">
        <v>148359</v>
      </c>
      <c r="J58" s="4">
        <f t="shared" si="0"/>
        <v>25</v>
      </c>
      <c r="K58" s="4">
        <f t="shared" si="1"/>
        <v>190</v>
      </c>
    </row>
    <row r="59" spans="1:11" x14ac:dyDescent="0.35">
      <c r="A59" s="2">
        <v>56</v>
      </c>
      <c r="B59" s="12">
        <v>45862</v>
      </c>
      <c r="C59" s="4" t="s">
        <v>96</v>
      </c>
      <c r="D59" s="4" t="s">
        <v>97</v>
      </c>
      <c r="E59" s="4"/>
      <c r="F59" s="4"/>
      <c r="G59" s="4"/>
      <c r="H59" s="4">
        <v>148360</v>
      </c>
      <c r="I59" s="4">
        <v>148374</v>
      </c>
      <c r="J59" s="4">
        <f t="shared" si="0"/>
        <v>15</v>
      </c>
      <c r="K59" s="4">
        <f t="shared" si="1"/>
        <v>175</v>
      </c>
    </row>
    <row r="60" spans="1:11" x14ac:dyDescent="0.35">
      <c r="A60" s="2">
        <v>57</v>
      </c>
      <c r="B60" s="12">
        <v>45856</v>
      </c>
      <c r="C60" s="4" t="s">
        <v>98</v>
      </c>
      <c r="D60" s="4" t="s">
        <v>99</v>
      </c>
      <c r="E60" s="4"/>
      <c r="F60" s="4"/>
      <c r="G60" s="4"/>
      <c r="H60" s="4">
        <v>148375</v>
      </c>
      <c r="I60" s="4">
        <v>148378</v>
      </c>
      <c r="J60" s="4">
        <f t="shared" si="0"/>
        <v>4</v>
      </c>
      <c r="K60" s="4">
        <f t="shared" si="1"/>
        <v>171</v>
      </c>
    </row>
    <row r="61" spans="1:11" x14ac:dyDescent="0.35">
      <c r="A61" s="2">
        <v>58</v>
      </c>
      <c r="B61" s="12">
        <v>45859</v>
      </c>
      <c r="C61" s="4" t="s">
        <v>100</v>
      </c>
      <c r="D61" s="4" t="s">
        <v>101</v>
      </c>
      <c r="E61" s="4"/>
      <c r="F61" s="4"/>
      <c r="G61" s="4"/>
      <c r="H61" s="4">
        <v>148379</v>
      </c>
      <c r="I61" s="4">
        <v>148407</v>
      </c>
      <c r="J61" s="4">
        <f t="shared" si="0"/>
        <v>29</v>
      </c>
      <c r="K61" s="4">
        <f t="shared" si="1"/>
        <v>142</v>
      </c>
    </row>
    <row r="62" spans="1:11" x14ac:dyDescent="0.35">
      <c r="A62" s="2">
        <v>59</v>
      </c>
      <c r="B62" s="13">
        <v>45860</v>
      </c>
      <c r="C62" s="6"/>
      <c r="D62" s="6"/>
      <c r="E62" s="6">
        <v>155550</v>
      </c>
      <c r="F62" s="6">
        <v>156049</v>
      </c>
      <c r="G62" s="6">
        <f>F62-E62+1</f>
        <v>500</v>
      </c>
      <c r="H62" s="6"/>
      <c r="I62" s="6"/>
      <c r="J62" s="6"/>
      <c r="K62" s="6">
        <f>K61+G62</f>
        <v>642</v>
      </c>
    </row>
    <row r="63" spans="1:11" x14ac:dyDescent="0.35">
      <c r="A63" s="2">
        <v>60</v>
      </c>
      <c r="B63" s="12">
        <v>45863</v>
      </c>
      <c r="C63" s="4" t="s">
        <v>68</v>
      </c>
      <c r="D63" s="4" t="s">
        <v>69</v>
      </c>
      <c r="E63" s="4"/>
      <c r="F63" s="4"/>
      <c r="G63" s="4"/>
      <c r="H63" s="4">
        <v>148408</v>
      </c>
      <c r="I63" s="4">
        <v>148408</v>
      </c>
      <c r="J63" s="4">
        <f t="shared" ref="J63:J112" si="2">I63-H63+1</f>
        <v>1</v>
      </c>
      <c r="K63" s="4">
        <f t="shared" si="1"/>
        <v>641</v>
      </c>
    </row>
    <row r="64" spans="1:11" x14ac:dyDescent="0.35">
      <c r="A64" s="2">
        <v>61</v>
      </c>
      <c r="B64" s="12">
        <v>45863</v>
      </c>
      <c r="C64" s="4" t="s">
        <v>102</v>
      </c>
      <c r="D64" s="4" t="s">
        <v>103</v>
      </c>
      <c r="E64" s="4"/>
      <c r="F64" s="4"/>
      <c r="G64" s="4"/>
      <c r="H64" s="4">
        <v>148409</v>
      </c>
      <c r="I64" s="4">
        <v>148410</v>
      </c>
      <c r="J64" s="4">
        <f t="shared" si="2"/>
        <v>2</v>
      </c>
      <c r="K64" s="4">
        <f t="shared" si="1"/>
        <v>639</v>
      </c>
    </row>
    <row r="65" spans="1:11" x14ac:dyDescent="0.35">
      <c r="A65" s="2">
        <v>62</v>
      </c>
      <c r="B65" s="12">
        <v>45863</v>
      </c>
      <c r="C65" s="4" t="s">
        <v>29</v>
      </c>
      <c r="D65" s="4" t="s">
        <v>30</v>
      </c>
      <c r="E65" s="4"/>
      <c r="F65" s="4"/>
      <c r="G65" s="4"/>
      <c r="H65" s="4">
        <v>148411</v>
      </c>
      <c r="I65" s="4">
        <v>148411</v>
      </c>
      <c r="J65" s="4">
        <f t="shared" si="2"/>
        <v>1</v>
      </c>
      <c r="K65" s="4">
        <f t="shared" si="1"/>
        <v>638</v>
      </c>
    </row>
    <row r="66" spans="1:11" x14ac:dyDescent="0.35">
      <c r="A66" s="2">
        <v>63</v>
      </c>
      <c r="B66" s="12">
        <v>45866</v>
      </c>
      <c r="C66" s="4" t="s">
        <v>104</v>
      </c>
      <c r="D66" s="4" t="s">
        <v>105</v>
      </c>
      <c r="E66" s="4"/>
      <c r="F66" s="4"/>
      <c r="G66" s="4"/>
      <c r="H66" s="4">
        <v>148412</v>
      </c>
      <c r="I66" s="4">
        <v>148423</v>
      </c>
      <c r="J66" s="4">
        <f t="shared" si="2"/>
        <v>12</v>
      </c>
      <c r="K66" s="4">
        <f t="shared" si="1"/>
        <v>626</v>
      </c>
    </row>
    <row r="67" spans="1:11" x14ac:dyDescent="0.35">
      <c r="A67" s="2">
        <v>64</v>
      </c>
      <c r="B67" s="12">
        <v>45868</v>
      </c>
      <c r="C67" s="4" t="s">
        <v>104</v>
      </c>
      <c r="D67" s="4" t="s">
        <v>105</v>
      </c>
      <c r="E67" s="4"/>
      <c r="F67" s="4"/>
      <c r="G67" s="4"/>
      <c r="H67" s="4">
        <v>148424</v>
      </c>
      <c r="I67" s="4">
        <v>148437</v>
      </c>
      <c r="J67" s="4">
        <f t="shared" si="2"/>
        <v>14</v>
      </c>
      <c r="K67" s="4">
        <f t="shared" si="1"/>
        <v>612</v>
      </c>
    </row>
    <row r="68" spans="1:11" x14ac:dyDescent="0.35">
      <c r="A68" s="2">
        <v>65</v>
      </c>
      <c r="B68" s="12">
        <v>45870</v>
      </c>
      <c r="C68" s="4" t="s">
        <v>106</v>
      </c>
      <c r="D68" s="4" t="s">
        <v>107</v>
      </c>
      <c r="E68" s="4"/>
      <c r="F68" s="4"/>
      <c r="G68" s="4"/>
      <c r="H68" s="4">
        <v>148438</v>
      </c>
      <c r="I68" s="4">
        <v>148440</v>
      </c>
      <c r="J68" s="4">
        <f t="shared" si="2"/>
        <v>3</v>
      </c>
      <c r="K68" s="4">
        <f t="shared" si="1"/>
        <v>609</v>
      </c>
    </row>
    <row r="69" spans="1:11" x14ac:dyDescent="0.35">
      <c r="A69" s="2">
        <v>66</v>
      </c>
      <c r="B69" s="12">
        <v>45873</v>
      </c>
      <c r="C69" s="4" t="s">
        <v>66</v>
      </c>
      <c r="D69" s="4" t="s">
        <v>28</v>
      </c>
      <c r="E69" s="4"/>
      <c r="F69" s="4"/>
      <c r="G69" s="4"/>
      <c r="H69" s="4">
        <v>148441</v>
      </c>
      <c r="I69" s="4">
        <v>148442</v>
      </c>
      <c r="J69" s="4">
        <f t="shared" si="2"/>
        <v>2</v>
      </c>
      <c r="K69" s="4">
        <f t="shared" si="1"/>
        <v>607</v>
      </c>
    </row>
    <row r="70" spans="1:11" x14ac:dyDescent="0.35">
      <c r="A70" s="2">
        <v>67</v>
      </c>
      <c r="B70" s="12">
        <v>45874</v>
      </c>
      <c r="C70" s="4" t="s">
        <v>108</v>
      </c>
      <c r="D70" s="4" t="s">
        <v>109</v>
      </c>
      <c r="E70" s="4"/>
      <c r="F70" s="4"/>
      <c r="G70" s="4"/>
      <c r="H70" s="4">
        <v>148443</v>
      </c>
      <c r="I70" s="4">
        <v>148457</v>
      </c>
      <c r="J70" s="4">
        <f t="shared" si="2"/>
        <v>15</v>
      </c>
      <c r="K70" s="4">
        <f t="shared" si="1"/>
        <v>592</v>
      </c>
    </row>
    <row r="71" spans="1:11" x14ac:dyDescent="0.35">
      <c r="A71" s="2">
        <v>68</v>
      </c>
      <c r="B71" s="12">
        <v>45880</v>
      </c>
      <c r="C71" s="4" t="s">
        <v>110</v>
      </c>
      <c r="D71" s="4" t="s">
        <v>111</v>
      </c>
      <c r="E71" s="4"/>
      <c r="F71" s="4"/>
      <c r="G71" s="4"/>
      <c r="H71" s="4">
        <v>148458</v>
      </c>
      <c r="I71" s="4">
        <v>148458</v>
      </c>
      <c r="J71" s="4">
        <f t="shared" si="2"/>
        <v>1</v>
      </c>
      <c r="K71" s="4">
        <f t="shared" ref="K71:K112" si="3">K70-J71</f>
        <v>591</v>
      </c>
    </row>
    <row r="72" spans="1:11" x14ac:dyDescent="0.35">
      <c r="A72" s="2">
        <v>69</v>
      </c>
      <c r="B72" s="12">
        <v>45880</v>
      </c>
      <c r="C72" s="4" t="s">
        <v>104</v>
      </c>
      <c r="D72" s="4" t="s">
        <v>105</v>
      </c>
      <c r="E72" s="4"/>
      <c r="F72" s="4"/>
      <c r="G72" s="4"/>
      <c r="H72" s="4">
        <v>148459</v>
      </c>
      <c r="I72" s="4">
        <v>148459</v>
      </c>
      <c r="J72" s="4">
        <f t="shared" si="2"/>
        <v>1</v>
      </c>
      <c r="K72" s="4">
        <f t="shared" si="3"/>
        <v>590</v>
      </c>
    </row>
    <row r="73" spans="1:11" x14ac:dyDescent="0.35">
      <c r="A73" s="2">
        <v>70</v>
      </c>
      <c r="B73" s="12">
        <v>45882</v>
      </c>
      <c r="C73" s="4" t="s">
        <v>112</v>
      </c>
      <c r="D73" s="4" t="s">
        <v>24</v>
      </c>
      <c r="E73" s="4"/>
      <c r="F73" s="4"/>
      <c r="G73" s="4"/>
      <c r="H73" s="4">
        <v>148460</v>
      </c>
      <c r="I73" s="4">
        <v>148460</v>
      </c>
      <c r="J73" s="4">
        <f t="shared" si="2"/>
        <v>1</v>
      </c>
      <c r="K73" s="4">
        <f t="shared" si="3"/>
        <v>589</v>
      </c>
    </row>
    <row r="74" spans="1:11" x14ac:dyDescent="0.35">
      <c r="A74" s="2">
        <v>71</v>
      </c>
      <c r="B74" s="12">
        <v>45884</v>
      </c>
      <c r="C74" s="4" t="s">
        <v>113</v>
      </c>
      <c r="D74" s="4" t="s">
        <v>114</v>
      </c>
      <c r="E74" s="4"/>
      <c r="F74" s="4"/>
      <c r="G74" s="4"/>
      <c r="H74" s="4">
        <v>148461</v>
      </c>
      <c r="I74" s="4">
        <v>148492</v>
      </c>
      <c r="J74" s="4">
        <f t="shared" si="2"/>
        <v>32</v>
      </c>
      <c r="K74" s="4">
        <f t="shared" si="3"/>
        <v>557</v>
      </c>
    </row>
    <row r="75" spans="1:11" x14ac:dyDescent="0.35">
      <c r="A75" s="2">
        <v>72</v>
      </c>
      <c r="B75" s="12">
        <v>45884</v>
      </c>
      <c r="C75" s="4" t="s">
        <v>115</v>
      </c>
      <c r="D75" s="4" t="s">
        <v>116</v>
      </c>
      <c r="E75" s="4"/>
      <c r="F75" s="4"/>
      <c r="G75" s="4"/>
      <c r="H75" s="4">
        <v>148493</v>
      </c>
      <c r="I75" s="4">
        <v>148493</v>
      </c>
      <c r="J75" s="4">
        <f t="shared" si="2"/>
        <v>1</v>
      </c>
      <c r="K75" s="4">
        <f t="shared" si="3"/>
        <v>556</v>
      </c>
    </row>
    <row r="76" spans="1:11" x14ac:dyDescent="0.35">
      <c r="A76" s="2">
        <v>73</v>
      </c>
      <c r="B76" s="12">
        <v>45885</v>
      </c>
      <c r="C76" s="4" t="s">
        <v>117</v>
      </c>
      <c r="D76" s="4" t="s">
        <v>118</v>
      </c>
      <c r="E76" s="4"/>
      <c r="F76" s="4"/>
      <c r="G76" s="4"/>
      <c r="H76" s="4">
        <v>148494</v>
      </c>
      <c r="I76" s="4">
        <v>148501</v>
      </c>
      <c r="J76" s="4">
        <f t="shared" si="2"/>
        <v>8</v>
      </c>
      <c r="K76" s="4">
        <f t="shared" si="3"/>
        <v>548</v>
      </c>
    </row>
    <row r="77" spans="1:11" x14ac:dyDescent="0.35">
      <c r="A77" s="2">
        <v>74</v>
      </c>
      <c r="B77" s="12">
        <v>45888</v>
      </c>
      <c r="C77" s="4" t="s">
        <v>119</v>
      </c>
      <c r="D77" s="4" t="s">
        <v>120</v>
      </c>
      <c r="E77" s="4"/>
      <c r="F77" s="4"/>
      <c r="G77" s="4"/>
      <c r="H77" s="4">
        <v>148502</v>
      </c>
      <c r="I77" s="4">
        <v>148518</v>
      </c>
      <c r="J77" s="4">
        <f t="shared" si="2"/>
        <v>17</v>
      </c>
      <c r="K77" s="4">
        <f t="shared" si="3"/>
        <v>531</v>
      </c>
    </row>
    <row r="78" spans="1:11" x14ac:dyDescent="0.35">
      <c r="A78" s="2">
        <v>75</v>
      </c>
      <c r="B78" s="12">
        <v>45890</v>
      </c>
      <c r="C78" s="4" t="s">
        <v>121</v>
      </c>
      <c r="D78" s="4" t="s">
        <v>122</v>
      </c>
      <c r="E78" s="4"/>
      <c r="F78" s="4"/>
      <c r="G78" s="4"/>
      <c r="H78" s="4">
        <v>148519</v>
      </c>
      <c r="I78" s="4">
        <v>148523</v>
      </c>
      <c r="J78" s="4">
        <f t="shared" si="2"/>
        <v>5</v>
      </c>
      <c r="K78" s="4">
        <f t="shared" si="3"/>
        <v>526</v>
      </c>
    </row>
    <row r="79" spans="1:11" x14ac:dyDescent="0.35">
      <c r="A79" s="2">
        <v>76</v>
      </c>
      <c r="B79" s="12">
        <v>45896</v>
      </c>
      <c r="C79" s="4" t="s">
        <v>110</v>
      </c>
      <c r="D79" s="4" t="s">
        <v>111</v>
      </c>
      <c r="E79" s="4"/>
      <c r="F79" s="4"/>
      <c r="G79" s="4"/>
      <c r="H79" s="4">
        <v>148524</v>
      </c>
      <c r="I79" s="4">
        <v>148537</v>
      </c>
      <c r="J79" s="4">
        <f t="shared" si="2"/>
        <v>14</v>
      </c>
      <c r="K79" s="4">
        <f t="shared" si="3"/>
        <v>512</v>
      </c>
    </row>
    <row r="80" spans="1:11" x14ac:dyDescent="0.35">
      <c r="A80" s="2">
        <v>77</v>
      </c>
      <c r="B80" s="12">
        <v>45898</v>
      </c>
      <c r="C80" s="4" t="s">
        <v>123</v>
      </c>
      <c r="D80" s="4" t="s">
        <v>124</v>
      </c>
      <c r="E80" s="4"/>
      <c r="F80" s="4"/>
      <c r="G80" s="4"/>
      <c r="H80" s="4">
        <v>148538</v>
      </c>
      <c r="I80" s="4">
        <v>148542</v>
      </c>
      <c r="J80" s="4">
        <f t="shared" si="2"/>
        <v>5</v>
      </c>
      <c r="K80" s="4">
        <f t="shared" si="3"/>
        <v>507</v>
      </c>
    </row>
    <row r="81" spans="1:11" x14ac:dyDescent="0.35">
      <c r="A81" s="2">
        <v>78</v>
      </c>
      <c r="B81" s="12">
        <v>45898</v>
      </c>
      <c r="C81" s="4" t="s">
        <v>29</v>
      </c>
      <c r="D81" s="4" t="s">
        <v>30</v>
      </c>
      <c r="E81" s="4"/>
      <c r="F81" s="4"/>
      <c r="G81" s="4"/>
      <c r="H81" s="4">
        <v>148543</v>
      </c>
      <c r="I81" s="4">
        <v>148543</v>
      </c>
      <c r="J81" s="4">
        <f t="shared" si="2"/>
        <v>1</v>
      </c>
      <c r="K81" s="4">
        <f t="shared" si="3"/>
        <v>506</v>
      </c>
    </row>
    <row r="82" spans="1:11" x14ac:dyDescent="0.35">
      <c r="A82" s="2">
        <v>79</v>
      </c>
      <c r="B82" s="12">
        <v>45898</v>
      </c>
      <c r="C82" s="4" t="s">
        <v>125</v>
      </c>
      <c r="D82" s="4" t="s">
        <v>126</v>
      </c>
      <c r="E82" s="4"/>
      <c r="F82" s="4"/>
      <c r="G82" s="4"/>
      <c r="H82" s="4">
        <v>148544</v>
      </c>
      <c r="I82" s="4">
        <v>148547</v>
      </c>
      <c r="J82" s="4">
        <f t="shared" si="2"/>
        <v>4</v>
      </c>
      <c r="K82" s="4">
        <f t="shared" si="3"/>
        <v>502</v>
      </c>
    </row>
    <row r="83" spans="1:11" x14ac:dyDescent="0.35">
      <c r="A83" s="2">
        <v>80</v>
      </c>
      <c r="B83" s="12">
        <v>45910</v>
      </c>
      <c r="C83" s="4" t="s">
        <v>108</v>
      </c>
      <c r="D83" s="4" t="s">
        <v>109</v>
      </c>
      <c r="E83" s="4"/>
      <c r="F83" s="4"/>
      <c r="G83" s="4"/>
      <c r="H83" s="4">
        <v>148548</v>
      </c>
      <c r="I83" s="4">
        <v>148548</v>
      </c>
      <c r="J83" s="4">
        <f t="shared" si="2"/>
        <v>1</v>
      </c>
      <c r="K83" s="4">
        <f t="shared" si="3"/>
        <v>501</v>
      </c>
    </row>
    <row r="84" spans="1:11" x14ac:dyDescent="0.35">
      <c r="A84" s="2">
        <v>81</v>
      </c>
      <c r="B84" s="12">
        <v>45912</v>
      </c>
      <c r="C84" s="4" t="s">
        <v>82</v>
      </c>
      <c r="D84" s="4" t="s">
        <v>127</v>
      </c>
      <c r="E84" s="4"/>
      <c r="F84" s="4"/>
      <c r="G84" s="4"/>
      <c r="H84" s="4">
        <v>148549</v>
      </c>
      <c r="I84" s="4">
        <v>148549</v>
      </c>
      <c r="J84" s="4">
        <f t="shared" si="2"/>
        <v>1</v>
      </c>
      <c r="K84" s="4">
        <f t="shared" si="3"/>
        <v>500</v>
      </c>
    </row>
    <row r="85" spans="1:11" x14ac:dyDescent="0.35">
      <c r="A85" s="2">
        <v>82</v>
      </c>
      <c r="B85" s="12">
        <v>45916</v>
      </c>
      <c r="C85" s="3" t="s">
        <v>128</v>
      </c>
      <c r="D85" s="4" t="s">
        <v>129</v>
      </c>
      <c r="E85" s="4"/>
      <c r="F85" s="4"/>
      <c r="G85" s="4"/>
      <c r="H85" s="4">
        <v>155550</v>
      </c>
      <c r="I85" s="4">
        <v>155550</v>
      </c>
      <c r="J85" s="4">
        <f t="shared" si="2"/>
        <v>1</v>
      </c>
      <c r="K85" s="4">
        <f t="shared" si="3"/>
        <v>499</v>
      </c>
    </row>
    <row r="86" spans="1:11" x14ac:dyDescent="0.35">
      <c r="A86" s="2">
        <v>83</v>
      </c>
      <c r="B86" s="12">
        <v>45916</v>
      </c>
      <c r="C86" s="4" t="s">
        <v>130</v>
      </c>
      <c r="D86" s="4" t="s">
        <v>131</v>
      </c>
      <c r="E86" s="4"/>
      <c r="F86" s="4"/>
      <c r="G86" s="4"/>
      <c r="H86" s="4">
        <v>155551</v>
      </c>
      <c r="I86" s="4">
        <v>155551</v>
      </c>
      <c r="J86" s="4">
        <f t="shared" si="2"/>
        <v>1</v>
      </c>
      <c r="K86" s="4">
        <f t="shared" si="3"/>
        <v>498</v>
      </c>
    </row>
    <row r="87" spans="1:11" x14ac:dyDescent="0.35">
      <c r="A87" s="2">
        <v>84</v>
      </c>
      <c r="B87" s="12">
        <v>45916</v>
      </c>
      <c r="C87" s="4" t="s">
        <v>106</v>
      </c>
      <c r="D87" s="4" t="s">
        <v>107</v>
      </c>
      <c r="E87" s="4"/>
      <c r="F87" s="4"/>
      <c r="G87" s="4"/>
      <c r="H87" s="4">
        <v>155552</v>
      </c>
      <c r="I87" s="4">
        <v>155555</v>
      </c>
      <c r="J87" s="4">
        <f t="shared" si="2"/>
        <v>4</v>
      </c>
      <c r="K87" s="4">
        <f t="shared" si="3"/>
        <v>494</v>
      </c>
    </row>
    <row r="88" spans="1:11" x14ac:dyDescent="0.35">
      <c r="A88" s="2">
        <v>85</v>
      </c>
      <c r="B88" s="12">
        <v>45916</v>
      </c>
      <c r="C88" s="4" t="s">
        <v>132</v>
      </c>
      <c r="D88" s="4" t="s">
        <v>133</v>
      </c>
      <c r="E88" s="4"/>
      <c r="F88" s="4"/>
      <c r="G88" s="4"/>
      <c r="H88" s="4">
        <v>155556</v>
      </c>
      <c r="I88" s="4">
        <v>155563</v>
      </c>
      <c r="J88" s="4">
        <f t="shared" si="2"/>
        <v>8</v>
      </c>
      <c r="K88" s="4">
        <f t="shared" si="3"/>
        <v>486</v>
      </c>
    </row>
    <row r="89" spans="1:11" x14ac:dyDescent="0.35">
      <c r="A89" s="2">
        <v>86</v>
      </c>
      <c r="B89" s="12">
        <v>45916</v>
      </c>
      <c r="C89" s="4" t="s">
        <v>134</v>
      </c>
      <c r="D89" s="4" t="s">
        <v>135</v>
      </c>
      <c r="E89" s="4"/>
      <c r="F89" s="4"/>
      <c r="G89" s="4"/>
      <c r="H89" s="4">
        <v>155564</v>
      </c>
      <c r="I89" s="4">
        <v>155600</v>
      </c>
      <c r="J89" s="4">
        <f t="shared" si="2"/>
        <v>37</v>
      </c>
      <c r="K89" s="4">
        <f t="shared" si="3"/>
        <v>449</v>
      </c>
    </row>
    <row r="90" spans="1:11" x14ac:dyDescent="0.35">
      <c r="A90" s="2">
        <v>87</v>
      </c>
      <c r="B90" s="12">
        <v>45923</v>
      </c>
      <c r="C90" s="4" t="s">
        <v>84</v>
      </c>
      <c r="D90" s="4" t="s">
        <v>136</v>
      </c>
      <c r="E90" s="4"/>
      <c r="F90" s="4"/>
      <c r="G90" s="4"/>
      <c r="H90" s="4">
        <v>155601</v>
      </c>
      <c r="I90" s="4">
        <v>155601</v>
      </c>
      <c r="J90" s="4">
        <f t="shared" si="2"/>
        <v>1</v>
      </c>
      <c r="K90" s="4">
        <f t="shared" si="3"/>
        <v>448</v>
      </c>
    </row>
    <row r="91" spans="1:11" x14ac:dyDescent="0.35">
      <c r="A91" s="2">
        <v>88</v>
      </c>
      <c r="B91" s="12">
        <v>45930</v>
      </c>
      <c r="C91" s="4" t="s">
        <v>137</v>
      </c>
      <c r="D91" s="4" t="s">
        <v>138</v>
      </c>
      <c r="E91" s="4"/>
      <c r="F91" s="4"/>
      <c r="G91" s="4"/>
      <c r="H91" s="4">
        <v>155602</v>
      </c>
      <c r="I91" s="4">
        <v>155756</v>
      </c>
      <c r="J91" s="4">
        <f t="shared" si="2"/>
        <v>155</v>
      </c>
      <c r="K91" s="4">
        <f t="shared" si="3"/>
        <v>293</v>
      </c>
    </row>
    <row r="92" spans="1:11" x14ac:dyDescent="0.35">
      <c r="A92" s="2">
        <v>89</v>
      </c>
      <c r="B92" s="12">
        <v>45936</v>
      </c>
      <c r="C92" s="4" t="s">
        <v>139</v>
      </c>
      <c r="D92" s="4" t="s">
        <v>140</v>
      </c>
      <c r="E92" s="4"/>
      <c r="F92" s="4"/>
      <c r="G92" s="4"/>
      <c r="H92" s="4">
        <v>155757</v>
      </c>
      <c r="I92" s="4">
        <v>155757</v>
      </c>
      <c r="J92" s="4">
        <f t="shared" si="2"/>
        <v>1</v>
      </c>
      <c r="K92" s="4">
        <f t="shared" si="3"/>
        <v>292</v>
      </c>
    </row>
    <row r="93" spans="1:11" x14ac:dyDescent="0.35">
      <c r="A93" s="2">
        <v>90</v>
      </c>
      <c r="B93" s="12">
        <v>45938</v>
      </c>
      <c r="C93" s="4" t="s">
        <v>134</v>
      </c>
      <c r="D93" s="4" t="s">
        <v>135</v>
      </c>
      <c r="E93" s="4"/>
      <c r="F93" s="4"/>
      <c r="G93" s="4"/>
      <c r="H93" s="4">
        <v>155758</v>
      </c>
      <c r="I93" s="4">
        <v>155762</v>
      </c>
      <c r="J93" s="4">
        <f t="shared" si="2"/>
        <v>5</v>
      </c>
      <c r="K93" s="4">
        <f t="shared" si="3"/>
        <v>287</v>
      </c>
    </row>
    <row r="94" spans="1:11" x14ac:dyDescent="0.35">
      <c r="A94" s="2">
        <v>91</v>
      </c>
      <c r="B94" s="12">
        <v>45939</v>
      </c>
      <c r="C94" s="4" t="s">
        <v>115</v>
      </c>
      <c r="D94" s="4" t="s">
        <v>116</v>
      </c>
      <c r="E94" s="4"/>
      <c r="F94" s="4"/>
      <c r="G94" s="4"/>
      <c r="H94" s="4">
        <v>155763</v>
      </c>
      <c r="I94" s="4">
        <v>155771</v>
      </c>
      <c r="J94" s="4">
        <f t="shared" si="2"/>
        <v>9</v>
      </c>
      <c r="K94" s="4">
        <f t="shared" si="3"/>
        <v>278</v>
      </c>
    </row>
    <row r="95" spans="1:11" x14ac:dyDescent="0.35">
      <c r="A95" s="2">
        <v>92</v>
      </c>
      <c r="B95" s="12">
        <v>45939</v>
      </c>
      <c r="C95" s="4" t="s">
        <v>141</v>
      </c>
      <c r="D95" s="4" t="s">
        <v>142</v>
      </c>
      <c r="E95" s="4"/>
      <c r="F95" s="4"/>
      <c r="G95" s="4"/>
      <c r="H95" s="4">
        <v>155772</v>
      </c>
      <c r="I95" s="4">
        <v>155773</v>
      </c>
      <c r="J95" s="4">
        <f t="shared" si="2"/>
        <v>2</v>
      </c>
      <c r="K95" s="4">
        <f t="shared" si="3"/>
        <v>276</v>
      </c>
    </row>
    <row r="96" spans="1:11" x14ac:dyDescent="0.35">
      <c r="A96" s="2">
        <v>93</v>
      </c>
      <c r="B96" s="12">
        <v>45944</v>
      </c>
      <c r="C96" s="4" t="s">
        <v>117</v>
      </c>
      <c r="D96" s="4" t="s">
        <v>118</v>
      </c>
      <c r="E96" s="4"/>
      <c r="F96" s="4"/>
      <c r="G96" s="4"/>
      <c r="H96" s="4">
        <v>155774</v>
      </c>
      <c r="I96" s="4">
        <v>155774</v>
      </c>
      <c r="J96" s="4">
        <f t="shared" si="2"/>
        <v>1</v>
      </c>
      <c r="K96" s="4">
        <f t="shared" si="3"/>
        <v>275</v>
      </c>
    </row>
    <row r="97" spans="1:11" x14ac:dyDescent="0.35">
      <c r="A97" s="2">
        <v>94</v>
      </c>
      <c r="B97" s="12">
        <v>45944</v>
      </c>
      <c r="C97" s="3" t="s">
        <v>128</v>
      </c>
      <c r="D97" s="3" t="s">
        <v>129</v>
      </c>
      <c r="E97" s="4"/>
      <c r="F97" s="4"/>
      <c r="G97" s="4"/>
      <c r="H97" s="4">
        <v>155775</v>
      </c>
      <c r="I97" s="4">
        <v>155775</v>
      </c>
      <c r="J97" s="4">
        <f t="shared" si="2"/>
        <v>1</v>
      </c>
      <c r="K97" s="4">
        <f t="shared" si="3"/>
        <v>274</v>
      </c>
    </row>
    <row r="98" spans="1:11" x14ac:dyDescent="0.35">
      <c r="A98" s="2">
        <v>95</v>
      </c>
      <c r="B98" s="12">
        <v>45947</v>
      </c>
      <c r="C98" s="4" t="s">
        <v>143</v>
      </c>
      <c r="D98" s="4" t="s">
        <v>144</v>
      </c>
      <c r="E98" s="4"/>
      <c r="F98" s="4"/>
      <c r="G98" s="4"/>
      <c r="H98" s="4">
        <v>155776</v>
      </c>
      <c r="I98" s="4">
        <v>155798</v>
      </c>
      <c r="J98" s="4">
        <f t="shared" si="2"/>
        <v>23</v>
      </c>
      <c r="K98" s="4">
        <f t="shared" si="3"/>
        <v>251</v>
      </c>
    </row>
    <row r="99" spans="1:11" x14ac:dyDescent="0.35">
      <c r="A99" s="2">
        <v>96</v>
      </c>
      <c r="B99" s="12">
        <v>45952</v>
      </c>
      <c r="C99" s="8" t="s">
        <v>17</v>
      </c>
      <c r="D99" s="4" t="s">
        <v>18</v>
      </c>
      <c r="E99" s="4"/>
      <c r="F99" s="4"/>
      <c r="G99" s="4"/>
      <c r="H99" s="4">
        <v>155799</v>
      </c>
      <c r="I99" s="4">
        <v>155803</v>
      </c>
      <c r="J99" s="4">
        <f t="shared" si="2"/>
        <v>5</v>
      </c>
      <c r="K99" s="4">
        <f t="shared" si="3"/>
        <v>246</v>
      </c>
    </row>
    <row r="100" spans="1:11" x14ac:dyDescent="0.35">
      <c r="A100" s="2">
        <v>97</v>
      </c>
      <c r="B100" s="12">
        <v>45953</v>
      </c>
      <c r="C100" s="4" t="s">
        <v>125</v>
      </c>
      <c r="D100" s="4" t="s">
        <v>145</v>
      </c>
      <c r="E100" s="4"/>
      <c r="F100" s="4"/>
      <c r="G100" s="4"/>
      <c r="H100" s="4">
        <v>155804</v>
      </c>
      <c r="I100" s="4">
        <v>155806</v>
      </c>
      <c r="J100" s="4">
        <f t="shared" si="2"/>
        <v>3</v>
      </c>
      <c r="K100" s="4">
        <f t="shared" si="3"/>
        <v>243</v>
      </c>
    </row>
    <row r="101" spans="1:11" x14ac:dyDescent="0.35">
      <c r="A101" s="2">
        <v>98</v>
      </c>
      <c r="B101" s="12">
        <v>45953</v>
      </c>
      <c r="C101" s="3" t="s">
        <v>146</v>
      </c>
      <c r="D101" s="4" t="s">
        <v>147</v>
      </c>
      <c r="E101" s="4"/>
      <c r="F101" s="4"/>
      <c r="G101" s="4"/>
      <c r="H101" s="4">
        <v>155807</v>
      </c>
      <c r="I101" s="4">
        <v>155807</v>
      </c>
      <c r="J101" s="4">
        <f t="shared" si="2"/>
        <v>1</v>
      </c>
      <c r="K101" s="4">
        <f t="shared" si="3"/>
        <v>242</v>
      </c>
    </row>
    <row r="102" spans="1:11" x14ac:dyDescent="0.35">
      <c r="A102" s="2">
        <v>99</v>
      </c>
      <c r="B102" s="12">
        <v>45954</v>
      </c>
      <c r="C102" s="4" t="s">
        <v>148</v>
      </c>
      <c r="D102" s="4" t="s">
        <v>149</v>
      </c>
      <c r="E102" s="4"/>
      <c r="F102" s="4"/>
      <c r="G102" s="4"/>
      <c r="H102" s="4">
        <v>155808</v>
      </c>
      <c r="I102" s="4">
        <v>155837</v>
      </c>
      <c r="J102" s="4">
        <f t="shared" si="2"/>
        <v>30</v>
      </c>
      <c r="K102" s="4">
        <f t="shared" si="3"/>
        <v>212</v>
      </c>
    </row>
    <row r="103" spans="1:11" x14ac:dyDescent="0.35">
      <c r="A103" s="2">
        <v>100</v>
      </c>
      <c r="B103" s="12">
        <v>45954</v>
      </c>
      <c r="C103" s="4" t="s">
        <v>150</v>
      </c>
      <c r="D103" s="4" t="s">
        <v>151</v>
      </c>
      <c r="E103" s="4"/>
      <c r="F103" s="4"/>
      <c r="G103" s="4"/>
      <c r="H103" s="4">
        <v>155838</v>
      </c>
      <c r="I103" s="4">
        <v>155849</v>
      </c>
      <c r="J103" s="4">
        <f t="shared" si="2"/>
        <v>12</v>
      </c>
      <c r="K103" s="4">
        <f t="shared" si="3"/>
        <v>200</v>
      </c>
    </row>
    <row r="104" spans="1:11" x14ac:dyDescent="0.35">
      <c r="A104" s="2">
        <v>101</v>
      </c>
      <c r="B104" s="12">
        <v>45957</v>
      </c>
      <c r="C104" s="4" t="s">
        <v>152</v>
      </c>
      <c r="D104" s="4" t="s">
        <v>153</v>
      </c>
      <c r="E104" s="4"/>
      <c r="F104" s="4"/>
      <c r="G104" s="4"/>
      <c r="H104" s="4">
        <v>155850</v>
      </c>
      <c r="I104" s="4">
        <v>155851</v>
      </c>
      <c r="J104" s="4">
        <f t="shared" si="2"/>
        <v>2</v>
      </c>
      <c r="K104" s="4">
        <f t="shared" si="3"/>
        <v>198</v>
      </c>
    </row>
    <row r="105" spans="1:11" x14ac:dyDescent="0.35">
      <c r="A105" s="2">
        <v>102</v>
      </c>
      <c r="B105" s="12">
        <v>45959</v>
      </c>
      <c r="C105" s="4" t="s">
        <v>154</v>
      </c>
      <c r="D105" s="4" t="s">
        <v>155</v>
      </c>
      <c r="E105" s="4"/>
      <c r="F105" s="4"/>
      <c r="G105" s="4"/>
      <c r="H105" s="4">
        <v>155852</v>
      </c>
      <c r="I105" s="4">
        <v>155854</v>
      </c>
      <c r="J105" s="4">
        <f t="shared" si="2"/>
        <v>3</v>
      </c>
      <c r="K105" s="4">
        <f t="shared" si="3"/>
        <v>195</v>
      </c>
    </row>
    <row r="106" spans="1:11" x14ac:dyDescent="0.35">
      <c r="A106" s="2">
        <v>103</v>
      </c>
      <c r="B106" s="12">
        <v>45961</v>
      </c>
      <c r="C106" s="4" t="s">
        <v>156</v>
      </c>
      <c r="D106" s="4" t="s">
        <v>157</v>
      </c>
      <c r="E106" s="4"/>
      <c r="F106" s="4"/>
      <c r="G106" s="4"/>
      <c r="H106" s="4">
        <v>155855</v>
      </c>
      <c r="I106" s="4">
        <v>155859</v>
      </c>
      <c r="J106" s="4">
        <f t="shared" si="2"/>
        <v>5</v>
      </c>
      <c r="K106" s="4">
        <f t="shared" si="3"/>
        <v>190</v>
      </c>
    </row>
    <row r="107" spans="1:11" x14ac:dyDescent="0.35">
      <c r="A107" s="2">
        <v>104</v>
      </c>
      <c r="B107" s="12">
        <v>45961</v>
      </c>
      <c r="C107" s="4" t="s">
        <v>158</v>
      </c>
      <c r="D107" s="4" t="s">
        <v>159</v>
      </c>
      <c r="E107" s="4"/>
      <c r="F107" s="4"/>
      <c r="G107" s="4"/>
      <c r="H107" s="4">
        <v>155860</v>
      </c>
      <c r="I107" s="4">
        <v>155863</v>
      </c>
      <c r="J107" s="4">
        <f t="shared" si="2"/>
        <v>4</v>
      </c>
      <c r="K107" s="4">
        <f t="shared" si="3"/>
        <v>186</v>
      </c>
    </row>
    <row r="108" spans="1:11" x14ac:dyDescent="0.35">
      <c r="A108" s="2">
        <v>105</v>
      </c>
      <c r="B108" s="12">
        <v>45964</v>
      </c>
      <c r="C108" s="4" t="s">
        <v>160</v>
      </c>
      <c r="D108" s="4" t="s">
        <v>161</v>
      </c>
      <c r="E108" s="4"/>
      <c r="F108" s="4"/>
      <c r="G108" s="4"/>
      <c r="H108" s="4">
        <v>155864</v>
      </c>
      <c r="I108" s="4">
        <v>155867</v>
      </c>
      <c r="J108" s="4">
        <f t="shared" si="2"/>
        <v>4</v>
      </c>
      <c r="K108" s="4">
        <f t="shared" si="3"/>
        <v>182</v>
      </c>
    </row>
    <row r="109" spans="1:11" x14ac:dyDescent="0.35">
      <c r="A109" s="2">
        <v>106</v>
      </c>
      <c r="B109" s="12">
        <v>45965</v>
      </c>
      <c r="C109" s="4" t="s">
        <v>162</v>
      </c>
      <c r="D109" s="4" t="s">
        <v>163</v>
      </c>
      <c r="E109" s="4"/>
      <c r="F109" s="4"/>
      <c r="G109" s="4"/>
      <c r="H109" s="4">
        <v>155868</v>
      </c>
      <c r="I109" s="4">
        <v>155868</v>
      </c>
      <c r="J109" s="4">
        <f t="shared" si="2"/>
        <v>1</v>
      </c>
      <c r="K109" s="4">
        <f t="shared" si="3"/>
        <v>181</v>
      </c>
    </row>
    <row r="110" spans="1:11" x14ac:dyDescent="0.35">
      <c r="A110" s="2">
        <v>107</v>
      </c>
      <c r="B110" s="12">
        <v>45968</v>
      </c>
      <c r="C110" s="4" t="s">
        <v>164</v>
      </c>
      <c r="D110" s="4" t="s">
        <v>165</v>
      </c>
      <c r="E110" s="4"/>
      <c r="F110" s="4"/>
      <c r="G110" s="4"/>
      <c r="H110" s="4">
        <v>155869</v>
      </c>
      <c r="I110" s="4">
        <v>155887</v>
      </c>
      <c r="J110" s="4">
        <f t="shared" si="2"/>
        <v>19</v>
      </c>
      <c r="K110" s="4">
        <f t="shared" si="3"/>
        <v>162</v>
      </c>
    </row>
    <row r="111" spans="1:11" x14ac:dyDescent="0.35">
      <c r="A111" s="2">
        <v>108</v>
      </c>
      <c r="B111" s="12">
        <v>45971</v>
      </c>
      <c r="C111" s="4" t="s">
        <v>166</v>
      </c>
      <c r="D111" s="4" t="s">
        <v>167</v>
      </c>
      <c r="E111" s="4"/>
      <c r="F111" s="4"/>
      <c r="G111" s="4"/>
      <c r="H111" s="4">
        <v>155888</v>
      </c>
      <c r="I111" s="4">
        <v>155890</v>
      </c>
      <c r="J111" s="4">
        <f t="shared" si="2"/>
        <v>3</v>
      </c>
      <c r="K111" s="4">
        <f t="shared" si="3"/>
        <v>159</v>
      </c>
    </row>
    <row r="112" spans="1:11" x14ac:dyDescent="0.35">
      <c r="A112" s="2">
        <v>109</v>
      </c>
      <c r="B112" s="12">
        <v>45972</v>
      </c>
      <c r="C112" s="4" t="s">
        <v>168</v>
      </c>
      <c r="D112" s="4" t="s">
        <v>169</v>
      </c>
      <c r="E112" s="4"/>
      <c r="F112" s="4"/>
      <c r="G112" s="4"/>
      <c r="H112" s="4">
        <v>155891</v>
      </c>
      <c r="I112" s="4">
        <v>155903</v>
      </c>
      <c r="J112" s="4">
        <f t="shared" si="2"/>
        <v>13</v>
      </c>
      <c r="K112" s="4">
        <f t="shared" si="3"/>
        <v>146</v>
      </c>
    </row>
    <row r="113" spans="1:11" x14ac:dyDescent="0.35">
      <c r="A113" s="2">
        <v>110</v>
      </c>
      <c r="B113" s="12">
        <v>45978</v>
      </c>
      <c r="C113" s="4" t="s">
        <v>148</v>
      </c>
      <c r="D113" s="4" t="s">
        <v>149</v>
      </c>
      <c r="E113" s="4"/>
      <c r="F113" s="4"/>
      <c r="G113" s="4"/>
      <c r="H113" s="4">
        <v>155904</v>
      </c>
      <c r="I113" s="4">
        <v>155904</v>
      </c>
      <c r="J113" s="4">
        <f t="shared" ref="J113" si="4">I113-H113+1</f>
        <v>1</v>
      </c>
      <c r="K113" s="4">
        <f t="shared" ref="K113" si="5">K112-J113</f>
        <v>145</v>
      </c>
    </row>
    <row r="114" spans="1:11" x14ac:dyDescent="0.35">
      <c r="A114" s="2">
        <v>111</v>
      </c>
      <c r="B114" s="12">
        <v>45978</v>
      </c>
      <c r="C114" s="4" t="s">
        <v>74</v>
      </c>
      <c r="D114" s="4" t="s">
        <v>75</v>
      </c>
      <c r="E114" s="4"/>
      <c r="F114" s="4"/>
      <c r="G114" s="4"/>
      <c r="H114" s="4">
        <v>155905</v>
      </c>
      <c r="I114" s="4">
        <v>155905</v>
      </c>
      <c r="J114" s="4">
        <f t="shared" ref="J114" si="6">I114-H114+1</f>
        <v>1</v>
      </c>
      <c r="K114" s="4">
        <f t="shared" ref="K114" si="7">K113-J114</f>
        <v>144</v>
      </c>
    </row>
    <row r="115" spans="1:11" x14ac:dyDescent="0.35">
      <c r="A115" s="2">
        <v>112</v>
      </c>
      <c r="B115" s="12">
        <v>45979</v>
      </c>
      <c r="C115" s="4" t="s">
        <v>170</v>
      </c>
      <c r="D115" s="4" t="s">
        <v>171</v>
      </c>
      <c r="E115" s="4"/>
      <c r="F115" s="4"/>
      <c r="G115" s="4"/>
      <c r="H115" s="4">
        <v>155906</v>
      </c>
      <c r="I115" s="4">
        <v>155915</v>
      </c>
      <c r="J115" s="4">
        <f t="shared" ref="J115" si="8">I115-H115+1</f>
        <v>10</v>
      </c>
      <c r="K115" s="4">
        <f t="shared" ref="K115" si="9">K114-J115</f>
        <v>134</v>
      </c>
    </row>
    <row r="116" spans="1:11" x14ac:dyDescent="0.35">
      <c r="A116" s="2">
        <v>113</v>
      </c>
      <c r="B116" s="17">
        <v>45981</v>
      </c>
      <c r="C116" s="18"/>
      <c r="D116" s="18"/>
      <c r="E116" s="18">
        <v>169550</v>
      </c>
      <c r="F116" s="18">
        <v>170049</v>
      </c>
      <c r="G116" s="18">
        <f>F116-E116+1</f>
        <v>500</v>
      </c>
      <c r="H116" s="18"/>
      <c r="I116" s="18"/>
      <c r="J116" s="18"/>
      <c r="K116" s="18">
        <f>K115+G116</f>
        <v>634</v>
      </c>
    </row>
    <row r="117" spans="1:11" x14ac:dyDescent="0.35">
      <c r="A117" s="2">
        <v>114</v>
      </c>
      <c r="B117" s="12">
        <v>45982</v>
      </c>
      <c r="C117" s="4" t="s">
        <v>106</v>
      </c>
      <c r="D117" s="4" t="s">
        <v>173</v>
      </c>
      <c r="E117" s="4"/>
      <c r="F117" s="4"/>
      <c r="G117" s="4"/>
      <c r="H117" s="4">
        <v>155916</v>
      </c>
      <c r="I117" s="4">
        <v>155917</v>
      </c>
      <c r="J117" s="4">
        <f t="shared" ref="J117" si="10">I117-H117+1</f>
        <v>2</v>
      </c>
      <c r="K117" s="4">
        <f t="shared" ref="K117" si="11">K116-J117</f>
        <v>632</v>
      </c>
    </row>
    <row r="118" spans="1:11" x14ac:dyDescent="0.35">
      <c r="A118" s="2">
        <v>115</v>
      </c>
      <c r="B118" s="16">
        <v>45985</v>
      </c>
      <c r="C118" s="19" t="s">
        <v>137</v>
      </c>
      <c r="D118" s="19" t="s">
        <v>138</v>
      </c>
      <c r="H118" s="19">
        <v>155918</v>
      </c>
      <c r="I118" s="19">
        <v>155918</v>
      </c>
      <c r="J118" s="19">
        <f t="shared" ref="J118" si="12">I118-H118+1</f>
        <v>1</v>
      </c>
      <c r="K118" s="19">
        <f t="shared" ref="K118" si="13">K117-J118</f>
        <v>631</v>
      </c>
    </row>
    <row r="119" spans="1:11" x14ac:dyDescent="0.35">
      <c r="A119" s="2">
        <v>116</v>
      </c>
      <c r="B119" s="12">
        <v>45989</v>
      </c>
      <c r="C119" s="4" t="s">
        <v>174</v>
      </c>
      <c r="D119" s="4" t="s">
        <v>175</v>
      </c>
      <c r="E119" s="4"/>
      <c r="F119" s="4"/>
      <c r="G119" s="4"/>
      <c r="H119" s="4">
        <v>155919</v>
      </c>
      <c r="I119" s="4">
        <v>155931</v>
      </c>
      <c r="J119" s="4">
        <f t="shared" ref="J119" si="14">I119-H119+1</f>
        <v>13</v>
      </c>
      <c r="K119" s="4">
        <f t="shared" ref="K119" si="15">K118-J119</f>
        <v>618</v>
      </c>
    </row>
    <row r="120" spans="1:11" x14ac:dyDescent="0.35">
      <c r="A120" s="2">
        <v>117</v>
      </c>
      <c r="B120" s="12">
        <v>46004</v>
      </c>
      <c r="C120" s="4" t="s">
        <v>176</v>
      </c>
      <c r="D120" s="4" t="s">
        <v>177</v>
      </c>
      <c r="E120" s="4"/>
      <c r="F120" s="4"/>
      <c r="G120" s="4"/>
      <c r="H120" s="4">
        <v>155932</v>
      </c>
      <c r="I120" s="4">
        <v>155932</v>
      </c>
      <c r="J120" s="4">
        <f t="shared" ref="J120" si="16">I120-H120+1</f>
        <v>1</v>
      </c>
      <c r="K120" s="4">
        <f t="shared" ref="K120" si="17">K119-J120</f>
        <v>617</v>
      </c>
    </row>
    <row r="121" spans="1:11" x14ac:dyDescent="0.35">
      <c r="A121" s="2">
        <v>118</v>
      </c>
      <c r="B121" s="12">
        <v>46006</v>
      </c>
      <c r="C121" s="4" t="s">
        <v>178</v>
      </c>
      <c r="D121" s="4" t="s">
        <v>179</v>
      </c>
      <c r="E121" s="4"/>
      <c r="F121" s="4"/>
      <c r="G121" s="4"/>
      <c r="H121" s="4">
        <v>155933</v>
      </c>
      <c r="I121" s="4">
        <v>155936</v>
      </c>
      <c r="J121" s="4">
        <f t="shared" ref="J121" si="18">I121-H121+1</f>
        <v>4</v>
      </c>
      <c r="K121" s="4">
        <f t="shared" ref="K121" si="19">K120-J121</f>
        <v>613</v>
      </c>
    </row>
    <row r="122" spans="1:11" x14ac:dyDescent="0.35">
      <c r="A122" s="2">
        <v>119</v>
      </c>
      <c r="B122" s="12">
        <v>46006</v>
      </c>
      <c r="C122" s="4" t="s">
        <v>180</v>
      </c>
      <c r="D122" s="4" t="s">
        <v>181</v>
      </c>
      <c r="E122" s="4"/>
      <c r="F122" s="4"/>
      <c r="G122" s="4"/>
      <c r="H122" s="4">
        <v>155937</v>
      </c>
      <c r="I122" s="4">
        <v>155967</v>
      </c>
      <c r="J122" s="4">
        <f t="shared" ref="J122" si="20">I122-H122+1</f>
        <v>31</v>
      </c>
      <c r="K122" s="4">
        <f t="shared" ref="K122" si="21">K121-J122</f>
        <v>582</v>
      </c>
    </row>
    <row r="123" spans="1:11" x14ac:dyDescent="0.35">
      <c r="A123" s="2">
        <v>120</v>
      </c>
      <c r="B123" s="12">
        <v>46009</v>
      </c>
      <c r="C123" s="4" t="s">
        <v>182</v>
      </c>
      <c r="D123" s="4" t="s">
        <v>183</v>
      </c>
      <c r="E123" s="4"/>
      <c r="F123" s="4"/>
      <c r="G123" s="4"/>
      <c r="H123" s="4">
        <v>155968</v>
      </c>
      <c r="I123" s="4">
        <v>155968</v>
      </c>
      <c r="J123" s="4">
        <f t="shared" ref="J123" si="22">I123-H123+1</f>
        <v>1</v>
      </c>
      <c r="K123" s="4">
        <f t="shared" ref="K123" si="23">K122-J123</f>
        <v>581</v>
      </c>
    </row>
    <row r="124" spans="1:11" x14ac:dyDescent="0.35">
      <c r="A124" s="2">
        <v>121</v>
      </c>
      <c r="B124" s="12">
        <v>46014</v>
      </c>
      <c r="C124" s="4" t="s">
        <v>184</v>
      </c>
      <c r="D124" s="4" t="s">
        <v>185</v>
      </c>
      <c r="E124" s="4"/>
      <c r="F124" s="4"/>
      <c r="G124" s="4"/>
      <c r="H124" s="4">
        <v>155969</v>
      </c>
      <c r="I124" s="4">
        <v>155980</v>
      </c>
      <c r="J124" s="4">
        <f t="shared" ref="J124" si="24">I124-H124+1</f>
        <v>12</v>
      </c>
      <c r="K124" s="4">
        <f t="shared" ref="K124" si="25">K123-J124</f>
        <v>569</v>
      </c>
    </row>
    <row r="125" spans="1:11" x14ac:dyDescent="0.35">
      <c r="A125" s="2">
        <v>122</v>
      </c>
      <c r="B125" s="12">
        <v>46014</v>
      </c>
      <c r="C125" s="4" t="s">
        <v>186</v>
      </c>
      <c r="D125" s="4" t="s">
        <v>187</v>
      </c>
      <c r="E125" s="4"/>
      <c r="F125" s="4"/>
      <c r="G125" s="4"/>
      <c r="H125" s="4">
        <v>155981</v>
      </c>
      <c r="I125" s="4">
        <v>155992</v>
      </c>
      <c r="J125" s="4">
        <f t="shared" ref="J125" si="26">I125-H125+1</f>
        <v>12</v>
      </c>
      <c r="K125" s="4">
        <f t="shared" ref="K125" si="27">K124-J125</f>
        <v>557</v>
      </c>
    </row>
    <row r="126" spans="1:11" x14ac:dyDescent="0.35">
      <c r="A126" s="2">
        <v>123</v>
      </c>
      <c r="B126" s="12">
        <v>46015</v>
      </c>
      <c r="C126" s="4" t="s">
        <v>188</v>
      </c>
      <c r="D126" s="4" t="s">
        <v>189</v>
      </c>
      <c r="E126" s="4"/>
      <c r="F126" s="4"/>
      <c r="G126" s="4"/>
      <c r="H126" s="4">
        <v>155993</v>
      </c>
      <c r="I126" s="4">
        <v>156002</v>
      </c>
      <c r="J126" s="4">
        <f t="shared" ref="J126" si="28">I126-H126+1</f>
        <v>10</v>
      </c>
      <c r="K126" s="4">
        <f t="shared" ref="K126" si="29">K125-J126</f>
        <v>547</v>
      </c>
    </row>
    <row r="127" spans="1:11" x14ac:dyDescent="0.35">
      <c r="A127" s="2">
        <v>124</v>
      </c>
      <c r="B127" s="12">
        <v>46021</v>
      </c>
      <c r="C127" s="4" t="s">
        <v>150</v>
      </c>
      <c r="D127" s="4" t="s">
        <v>151</v>
      </c>
      <c r="E127" s="4"/>
      <c r="F127" s="4"/>
      <c r="G127" s="4"/>
      <c r="H127" s="4">
        <v>156003</v>
      </c>
      <c r="I127" s="4">
        <v>156003</v>
      </c>
      <c r="J127" s="4">
        <f t="shared" ref="J127" si="30">I127-H127+1</f>
        <v>1</v>
      </c>
      <c r="K127" s="4">
        <f t="shared" ref="K127" si="31">K126-J127</f>
        <v>546</v>
      </c>
    </row>
    <row r="128" spans="1:11" x14ac:dyDescent="0.35">
      <c r="J128" s="22">
        <f>SUM(J6:J127)</f>
        <v>954</v>
      </c>
    </row>
  </sheetData>
  <mergeCells count="10">
    <mergeCell ref="A1:K1"/>
    <mergeCell ref="K2:K3"/>
    <mergeCell ref="A2:A3"/>
    <mergeCell ref="B2:B3"/>
    <mergeCell ref="C2:C3"/>
    <mergeCell ref="D2:D3"/>
    <mergeCell ref="E2:F2"/>
    <mergeCell ref="H2:I2"/>
    <mergeCell ref="J2:J3"/>
    <mergeCell ref="G2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DE92F-8A7D-4031-9689-554ED4A1DF16}">
  <dimension ref="A1:L165"/>
  <sheetViews>
    <sheetView tabSelected="1" workbookViewId="0">
      <pane ySplit="3" topLeftCell="A147" activePane="bottomLeft" state="frozen"/>
      <selection pane="bottomLeft" activeCell="J164" sqref="J164"/>
    </sheetView>
  </sheetViews>
  <sheetFormatPr defaultRowHeight="14.5" x14ac:dyDescent="0.35"/>
  <cols>
    <col min="1" max="1" width="8.7265625" style="11"/>
    <col min="2" max="2" width="10.453125" style="20" bestFit="1" customWidth="1"/>
    <col min="3" max="3" width="51" customWidth="1"/>
    <col min="4" max="4" width="14.81640625" bestFit="1" customWidth="1"/>
    <col min="5" max="6" width="8.7265625" hidden="1" customWidth="1"/>
    <col min="7" max="7" width="13" hidden="1" customWidth="1"/>
    <col min="8" max="9" width="8.7265625" customWidth="1"/>
    <col min="10" max="10" width="13.54296875" customWidth="1"/>
    <col min="11" max="11" width="11.08984375" customWidth="1"/>
  </cols>
  <sheetData>
    <row r="1" spans="1:11" ht="18.5" x14ac:dyDescent="0.35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1" x14ac:dyDescent="0.35">
      <c r="A2" s="35" t="s">
        <v>1</v>
      </c>
      <c r="B2" s="36" t="s">
        <v>2</v>
      </c>
      <c r="C2" s="35" t="s">
        <v>3</v>
      </c>
      <c r="D2" s="37" t="s">
        <v>4</v>
      </c>
      <c r="E2" s="35" t="s">
        <v>5</v>
      </c>
      <c r="F2" s="35"/>
      <c r="G2" s="37" t="s">
        <v>172</v>
      </c>
      <c r="H2" s="35" t="s">
        <v>6</v>
      </c>
      <c r="I2" s="35"/>
      <c r="J2" s="39" t="s">
        <v>7</v>
      </c>
      <c r="K2" s="39" t="s">
        <v>8</v>
      </c>
    </row>
    <row r="3" spans="1:11" x14ac:dyDescent="0.35">
      <c r="A3" s="35"/>
      <c r="B3" s="36"/>
      <c r="C3" s="35"/>
      <c r="D3" s="38"/>
      <c r="E3" s="1" t="s">
        <v>9</v>
      </c>
      <c r="F3" s="1" t="s">
        <v>10</v>
      </c>
      <c r="G3" s="38"/>
      <c r="H3" s="1" t="s">
        <v>9</v>
      </c>
      <c r="I3" s="1" t="s">
        <v>10</v>
      </c>
      <c r="J3" s="35"/>
      <c r="K3" s="35"/>
    </row>
    <row r="4" spans="1:11" x14ac:dyDescent="0.35">
      <c r="A4" s="29">
        <v>1</v>
      </c>
      <c r="B4" s="30">
        <v>46027</v>
      </c>
      <c r="C4" s="31" t="s">
        <v>11</v>
      </c>
      <c r="D4" s="31"/>
      <c r="E4" s="31"/>
      <c r="F4" s="31"/>
      <c r="G4" s="31"/>
      <c r="H4" s="31"/>
      <c r="I4" s="31"/>
      <c r="J4" s="31"/>
      <c r="K4" s="31">
        <f>'2025'!K127</f>
        <v>546</v>
      </c>
    </row>
    <row r="5" spans="1:11" x14ac:dyDescent="0.35">
      <c r="A5" s="2">
        <v>2</v>
      </c>
      <c r="B5" s="21">
        <v>46027</v>
      </c>
      <c r="C5" s="4" t="s">
        <v>180</v>
      </c>
      <c r="D5" s="4" t="s">
        <v>181</v>
      </c>
      <c r="E5" s="4"/>
      <c r="F5" s="4"/>
      <c r="G5" s="4"/>
      <c r="H5" s="4">
        <v>156004</v>
      </c>
      <c r="I5" s="4">
        <v>156008</v>
      </c>
      <c r="J5" s="4">
        <f t="shared" ref="J5:J10" si="0">I5-H5+1</f>
        <v>5</v>
      </c>
      <c r="K5" s="4">
        <f>K4-J5</f>
        <v>541</v>
      </c>
    </row>
    <row r="6" spans="1:11" x14ac:dyDescent="0.35">
      <c r="A6" s="2">
        <v>3</v>
      </c>
      <c r="B6" s="21">
        <v>46027</v>
      </c>
      <c r="C6" s="4" t="s">
        <v>190</v>
      </c>
      <c r="D6" s="4" t="s">
        <v>191</v>
      </c>
      <c r="E6" s="4"/>
      <c r="F6" s="4"/>
      <c r="G6" s="4"/>
      <c r="H6" s="4">
        <v>156009</v>
      </c>
      <c r="I6" s="4">
        <v>156009</v>
      </c>
      <c r="J6" s="4">
        <f t="shared" si="0"/>
        <v>1</v>
      </c>
      <c r="K6" s="4">
        <f t="shared" ref="K6:K69" si="1">K5-J6</f>
        <v>540</v>
      </c>
    </row>
    <row r="7" spans="1:11" x14ac:dyDescent="0.35">
      <c r="A7" s="2">
        <v>4</v>
      </c>
      <c r="B7" s="21">
        <v>46036</v>
      </c>
      <c r="C7" s="4" t="s">
        <v>115</v>
      </c>
      <c r="D7" s="4" t="s">
        <v>192</v>
      </c>
      <c r="E7" s="4"/>
      <c r="F7" s="4"/>
      <c r="G7" s="4"/>
      <c r="H7" s="4">
        <v>156010</v>
      </c>
      <c r="I7" s="4">
        <v>156010</v>
      </c>
      <c r="J7" s="4">
        <f t="shared" si="0"/>
        <v>1</v>
      </c>
      <c r="K7" s="4">
        <f t="shared" si="1"/>
        <v>539</v>
      </c>
    </row>
    <row r="8" spans="1:11" x14ac:dyDescent="0.35">
      <c r="A8" s="2">
        <v>5</v>
      </c>
      <c r="B8" s="21">
        <v>46036</v>
      </c>
      <c r="C8" s="4" t="s">
        <v>193</v>
      </c>
      <c r="D8" s="4" t="s">
        <v>194</v>
      </c>
      <c r="E8" s="4"/>
      <c r="F8" s="4"/>
      <c r="G8" s="4"/>
      <c r="H8" s="4">
        <v>156011</v>
      </c>
      <c r="I8" s="4">
        <v>156011</v>
      </c>
      <c r="J8" s="4">
        <f t="shared" si="0"/>
        <v>1</v>
      </c>
      <c r="K8" s="4">
        <f t="shared" si="1"/>
        <v>538</v>
      </c>
    </row>
    <row r="9" spans="1:11" x14ac:dyDescent="0.35">
      <c r="A9" s="2">
        <v>6</v>
      </c>
      <c r="B9" s="21">
        <v>46036</v>
      </c>
      <c r="C9" s="4" t="s">
        <v>195</v>
      </c>
      <c r="D9" s="4" t="s">
        <v>196</v>
      </c>
      <c r="E9" s="4"/>
      <c r="F9" s="4"/>
      <c r="G9" s="4"/>
      <c r="H9" s="4">
        <v>156012</v>
      </c>
      <c r="I9" s="4">
        <v>156016</v>
      </c>
      <c r="J9" s="4">
        <f t="shared" si="0"/>
        <v>5</v>
      </c>
      <c r="K9" s="4">
        <f t="shared" si="1"/>
        <v>533</v>
      </c>
    </row>
    <row r="10" spans="1:11" x14ac:dyDescent="0.35">
      <c r="A10" s="2">
        <v>7</v>
      </c>
      <c r="B10" s="21">
        <v>46039</v>
      </c>
      <c r="C10" s="4" t="s">
        <v>197</v>
      </c>
      <c r="D10" s="4" t="s">
        <v>198</v>
      </c>
      <c r="E10" s="4"/>
      <c r="F10" s="4"/>
      <c r="G10" s="4"/>
      <c r="H10" s="4">
        <v>156017</v>
      </c>
      <c r="I10" s="4">
        <v>156017</v>
      </c>
      <c r="J10" s="4">
        <f t="shared" si="0"/>
        <v>1</v>
      </c>
      <c r="K10" s="4">
        <f t="shared" si="1"/>
        <v>532</v>
      </c>
    </row>
    <row r="11" spans="1:11" x14ac:dyDescent="0.35">
      <c r="A11" s="2">
        <v>8</v>
      </c>
      <c r="B11" s="21">
        <v>46042</v>
      </c>
      <c r="C11" s="4" t="s">
        <v>200</v>
      </c>
      <c r="D11" s="4" t="s">
        <v>199</v>
      </c>
      <c r="E11" s="4"/>
      <c r="F11" s="4"/>
      <c r="G11" s="4"/>
      <c r="H11" s="4">
        <v>156018</v>
      </c>
      <c r="I11" s="4">
        <v>156018</v>
      </c>
      <c r="J11" s="4">
        <f t="shared" ref="J11" si="2">I11-H11+1</f>
        <v>1</v>
      </c>
      <c r="K11" s="4">
        <f t="shared" si="1"/>
        <v>531</v>
      </c>
    </row>
    <row r="12" spans="1:11" x14ac:dyDescent="0.35">
      <c r="A12" s="2">
        <v>9</v>
      </c>
      <c r="B12" s="21">
        <v>46042</v>
      </c>
      <c r="C12" s="4" t="s">
        <v>201</v>
      </c>
      <c r="D12" s="4" t="s">
        <v>129</v>
      </c>
      <c r="E12" s="4"/>
      <c r="F12" s="4"/>
      <c r="G12" s="4"/>
      <c r="H12" s="4">
        <v>156019</v>
      </c>
      <c r="I12" s="4">
        <v>156019</v>
      </c>
      <c r="J12" s="4">
        <f t="shared" ref="J12" si="3">I12-H12+1</f>
        <v>1</v>
      </c>
      <c r="K12" s="4">
        <f t="shared" si="1"/>
        <v>530</v>
      </c>
    </row>
    <row r="13" spans="1:11" x14ac:dyDescent="0.35">
      <c r="A13" s="2">
        <v>10</v>
      </c>
      <c r="B13" s="21">
        <v>46043</v>
      </c>
      <c r="C13" s="4" t="s">
        <v>130</v>
      </c>
      <c r="D13" s="4" t="s">
        <v>202</v>
      </c>
      <c r="E13" s="4"/>
      <c r="F13" s="4"/>
      <c r="G13" s="4"/>
      <c r="H13" s="4">
        <v>156020</v>
      </c>
      <c r="I13" s="4">
        <v>156034</v>
      </c>
      <c r="J13" s="4">
        <f t="shared" ref="J13" si="4">I13-H13+1</f>
        <v>15</v>
      </c>
      <c r="K13" s="4">
        <f t="shared" si="1"/>
        <v>515</v>
      </c>
    </row>
    <row r="14" spans="1:11" x14ac:dyDescent="0.35">
      <c r="A14" s="2">
        <v>11</v>
      </c>
      <c r="B14" s="21">
        <v>46044</v>
      </c>
      <c r="C14" s="4" t="s">
        <v>204</v>
      </c>
      <c r="D14" s="4" t="s">
        <v>203</v>
      </c>
      <c r="E14" s="4"/>
      <c r="F14" s="4"/>
      <c r="G14" s="4"/>
      <c r="H14" s="4">
        <v>156035</v>
      </c>
      <c r="I14" s="4">
        <v>156049</v>
      </c>
      <c r="J14" s="4">
        <f t="shared" ref="J14:J15" si="5">I14-H14+1</f>
        <v>15</v>
      </c>
      <c r="K14" s="4">
        <f t="shared" si="1"/>
        <v>500</v>
      </c>
    </row>
    <row r="15" spans="1:11" x14ac:dyDescent="0.35">
      <c r="A15" s="2"/>
      <c r="B15" s="21">
        <v>46044</v>
      </c>
      <c r="C15" s="4" t="s">
        <v>204</v>
      </c>
      <c r="D15" s="4" t="s">
        <v>203</v>
      </c>
      <c r="E15" s="4"/>
      <c r="F15" s="4"/>
      <c r="G15" s="4"/>
      <c r="H15" s="4">
        <v>169550</v>
      </c>
      <c r="I15" s="4">
        <v>169560</v>
      </c>
      <c r="J15" s="4">
        <f t="shared" si="5"/>
        <v>11</v>
      </c>
      <c r="K15" s="4">
        <f t="shared" si="1"/>
        <v>489</v>
      </c>
    </row>
    <row r="16" spans="1:11" x14ac:dyDescent="0.35">
      <c r="A16" s="2">
        <v>12</v>
      </c>
      <c r="B16" s="21">
        <v>46048</v>
      </c>
      <c r="C16" s="4" t="s">
        <v>117</v>
      </c>
      <c r="D16" s="4" t="s">
        <v>205</v>
      </c>
      <c r="E16" s="4"/>
      <c r="F16" s="4"/>
      <c r="G16" s="4"/>
      <c r="H16" s="4">
        <v>169561</v>
      </c>
      <c r="I16" s="4">
        <v>169561</v>
      </c>
      <c r="J16" s="4">
        <f t="shared" ref="J16" si="6">I16-H16+1</f>
        <v>1</v>
      </c>
      <c r="K16" s="4">
        <f t="shared" si="1"/>
        <v>488</v>
      </c>
    </row>
    <row r="17" spans="1:11" x14ac:dyDescent="0.35">
      <c r="A17" s="2">
        <v>13</v>
      </c>
      <c r="B17" s="21">
        <v>46050</v>
      </c>
      <c r="C17" s="4" t="s">
        <v>207</v>
      </c>
      <c r="D17" s="4" t="s">
        <v>206</v>
      </c>
      <c r="E17" s="4"/>
      <c r="F17" s="4"/>
      <c r="G17" s="4"/>
      <c r="H17" s="4">
        <v>169562</v>
      </c>
      <c r="I17" s="4">
        <v>169562</v>
      </c>
      <c r="J17" s="4">
        <f t="shared" ref="J17" si="7">I17-H17+1</f>
        <v>1</v>
      </c>
      <c r="K17" s="4">
        <f t="shared" si="1"/>
        <v>487</v>
      </c>
    </row>
    <row r="18" spans="1:11" x14ac:dyDescent="0.35">
      <c r="A18" s="2">
        <v>14</v>
      </c>
      <c r="B18" s="21">
        <v>46050</v>
      </c>
      <c r="C18" s="4" t="s">
        <v>209</v>
      </c>
      <c r="D18" s="4" t="s">
        <v>208</v>
      </c>
      <c r="E18" s="4"/>
      <c r="F18" s="4"/>
      <c r="G18" s="4"/>
      <c r="H18" s="4">
        <v>169563</v>
      </c>
      <c r="I18" s="4">
        <v>169564</v>
      </c>
      <c r="J18" s="4">
        <f t="shared" ref="J18" si="8">I18-H18+1</f>
        <v>2</v>
      </c>
      <c r="K18" s="4">
        <f t="shared" si="1"/>
        <v>485</v>
      </c>
    </row>
    <row r="19" spans="1:11" x14ac:dyDescent="0.35">
      <c r="A19" s="2">
        <v>15</v>
      </c>
      <c r="B19" s="21">
        <v>46052</v>
      </c>
      <c r="C19" s="4" t="s">
        <v>66</v>
      </c>
      <c r="D19" s="4" t="s">
        <v>67</v>
      </c>
      <c r="E19" s="4"/>
      <c r="F19" s="4"/>
      <c r="G19" s="4"/>
      <c r="H19" s="4">
        <v>169565</v>
      </c>
      <c r="I19" s="4">
        <v>169581</v>
      </c>
      <c r="J19" s="4">
        <f t="shared" ref="J19" si="9">I19-H19+1</f>
        <v>17</v>
      </c>
      <c r="K19" s="4">
        <f t="shared" si="1"/>
        <v>468</v>
      </c>
    </row>
    <row r="20" spans="1:11" x14ac:dyDescent="0.35">
      <c r="A20" s="2">
        <v>16</v>
      </c>
      <c r="B20" s="21">
        <v>46052</v>
      </c>
      <c r="C20" s="4" t="s">
        <v>211</v>
      </c>
      <c r="D20" s="4" t="s">
        <v>210</v>
      </c>
      <c r="E20" s="4"/>
      <c r="F20" s="4"/>
      <c r="G20" s="4"/>
      <c r="H20" s="4">
        <v>169582</v>
      </c>
      <c r="I20" s="4">
        <v>169584</v>
      </c>
      <c r="J20" s="4">
        <f t="shared" ref="J20" si="10">I20-H20+1</f>
        <v>3</v>
      </c>
      <c r="K20" s="4">
        <f t="shared" si="1"/>
        <v>465</v>
      </c>
    </row>
    <row r="21" spans="1:11" x14ac:dyDescent="0.35">
      <c r="A21" s="2">
        <v>17</v>
      </c>
      <c r="B21" s="21">
        <v>46055</v>
      </c>
      <c r="C21" s="4" t="s">
        <v>213</v>
      </c>
      <c r="D21" s="4" t="s">
        <v>212</v>
      </c>
      <c r="E21" s="4"/>
      <c r="F21" s="4"/>
      <c r="G21" s="4"/>
      <c r="H21" s="4">
        <v>169585</v>
      </c>
      <c r="I21" s="4">
        <v>169591</v>
      </c>
      <c r="J21" s="4">
        <f t="shared" ref="J21" si="11">I21-H21+1</f>
        <v>7</v>
      </c>
      <c r="K21" s="4">
        <f t="shared" si="1"/>
        <v>458</v>
      </c>
    </row>
    <row r="22" spans="1:11" x14ac:dyDescent="0.35">
      <c r="A22" s="2">
        <v>18</v>
      </c>
      <c r="B22" s="21">
        <v>46062</v>
      </c>
      <c r="C22" s="4" t="s">
        <v>215</v>
      </c>
      <c r="D22" s="4" t="s">
        <v>214</v>
      </c>
      <c r="E22" s="4"/>
      <c r="F22" s="4"/>
      <c r="G22" s="4"/>
      <c r="H22" s="4">
        <v>169592</v>
      </c>
      <c r="I22" s="4">
        <v>169592</v>
      </c>
      <c r="J22" s="4">
        <f t="shared" ref="J22" si="12">I22-H22+1</f>
        <v>1</v>
      </c>
      <c r="K22" s="4">
        <f t="shared" si="1"/>
        <v>457</v>
      </c>
    </row>
    <row r="23" spans="1:11" x14ac:dyDescent="0.35">
      <c r="A23" s="2">
        <v>19</v>
      </c>
      <c r="B23" s="21">
        <v>46062</v>
      </c>
      <c r="C23" s="4" t="s">
        <v>125</v>
      </c>
      <c r="D23" s="4" t="s">
        <v>145</v>
      </c>
      <c r="E23" s="4"/>
      <c r="F23" s="4"/>
      <c r="G23" s="4"/>
      <c r="H23" s="4">
        <v>169593</v>
      </c>
      <c r="I23" s="4">
        <v>169594</v>
      </c>
      <c r="J23" s="4">
        <f t="shared" ref="J23" si="13">I23-H23+1</f>
        <v>2</v>
      </c>
      <c r="K23" s="4">
        <f t="shared" si="1"/>
        <v>455</v>
      </c>
    </row>
    <row r="24" spans="1:11" x14ac:dyDescent="0.35">
      <c r="A24" s="2">
        <v>20</v>
      </c>
      <c r="B24" s="21">
        <v>46062</v>
      </c>
      <c r="C24" s="4" t="s">
        <v>216</v>
      </c>
      <c r="D24" s="4" t="s">
        <v>175</v>
      </c>
      <c r="E24" s="4"/>
      <c r="F24" s="4"/>
      <c r="G24" s="4"/>
      <c r="H24" s="4">
        <v>169595</v>
      </c>
      <c r="I24" s="4">
        <v>169595</v>
      </c>
      <c r="J24" s="4">
        <f t="shared" ref="J24" si="14">I24-H24+1</f>
        <v>1</v>
      </c>
      <c r="K24" s="4">
        <f t="shared" si="1"/>
        <v>454</v>
      </c>
    </row>
    <row r="25" spans="1:11" x14ac:dyDescent="0.35">
      <c r="A25" s="2">
        <v>21</v>
      </c>
      <c r="B25" s="21">
        <v>46063</v>
      </c>
      <c r="C25" s="4" t="s">
        <v>218</v>
      </c>
      <c r="D25" s="4" t="s">
        <v>217</v>
      </c>
      <c r="E25" s="4"/>
      <c r="F25" s="4"/>
      <c r="G25" s="4"/>
      <c r="H25" s="4">
        <v>169596</v>
      </c>
      <c r="I25" s="4">
        <v>169608</v>
      </c>
      <c r="J25" s="4">
        <f t="shared" ref="J25" si="15">I25-H25+1</f>
        <v>13</v>
      </c>
      <c r="K25" s="4">
        <f t="shared" si="1"/>
        <v>441</v>
      </c>
    </row>
    <row r="26" spans="1:11" x14ac:dyDescent="0.35">
      <c r="A26" s="2">
        <v>22</v>
      </c>
      <c r="B26" s="21">
        <v>46064</v>
      </c>
      <c r="C26" s="4" t="s">
        <v>200</v>
      </c>
      <c r="D26" s="4" t="s">
        <v>199</v>
      </c>
      <c r="E26" s="4"/>
      <c r="F26" s="4"/>
      <c r="G26" s="4"/>
      <c r="H26" s="4">
        <v>169609</v>
      </c>
      <c r="I26" s="4">
        <v>169609</v>
      </c>
      <c r="J26" s="4">
        <f t="shared" ref="J26" si="16">I26-H26+1</f>
        <v>1</v>
      </c>
      <c r="K26" s="4">
        <f t="shared" si="1"/>
        <v>440</v>
      </c>
    </row>
    <row r="27" spans="1:11" x14ac:dyDescent="0.35">
      <c r="A27" s="2">
        <v>23</v>
      </c>
      <c r="B27" s="21">
        <v>46064</v>
      </c>
      <c r="C27" s="4" t="s">
        <v>106</v>
      </c>
      <c r="D27" s="4" t="s">
        <v>173</v>
      </c>
      <c r="E27" s="4"/>
      <c r="F27" s="4"/>
      <c r="G27" s="4"/>
      <c r="H27" s="4">
        <v>169610</v>
      </c>
      <c r="I27" s="4">
        <v>169613</v>
      </c>
      <c r="J27" s="4">
        <f t="shared" ref="J27" si="17">I27-H27+1</f>
        <v>4</v>
      </c>
      <c r="K27" s="4">
        <f t="shared" si="1"/>
        <v>436</v>
      </c>
    </row>
    <row r="28" spans="1:11" x14ac:dyDescent="0.35">
      <c r="A28" s="2">
        <v>24</v>
      </c>
      <c r="B28" s="21">
        <v>46067</v>
      </c>
      <c r="C28" s="4" t="s">
        <v>220</v>
      </c>
      <c r="D28" s="4" t="s">
        <v>219</v>
      </c>
      <c r="E28" s="4"/>
      <c r="F28" s="4"/>
      <c r="G28" s="4"/>
      <c r="H28" s="4">
        <v>169614</v>
      </c>
      <c r="I28" s="4">
        <v>169626</v>
      </c>
      <c r="J28" s="4">
        <f t="shared" ref="J28" si="18">I28-H28+1</f>
        <v>13</v>
      </c>
      <c r="K28" s="4">
        <f t="shared" si="1"/>
        <v>423</v>
      </c>
    </row>
    <row r="29" spans="1:11" x14ac:dyDescent="0.35">
      <c r="A29" s="2">
        <v>25</v>
      </c>
      <c r="B29" s="21">
        <v>46067</v>
      </c>
      <c r="C29" s="4" t="s">
        <v>222</v>
      </c>
      <c r="D29" s="4" t="s">
        <v>221</v>
      </c>
      <c r="E29" s="4"/>
      <c r="F29" s="4"/>
      <c r="G29" s="4"/>
      <c r="H29" s="4">
        <v>169627</v>
      </c>
      <c r="I29" s="4">
        <v>169628</v>
      </c>
      <c r="J29" s="4">
        <f t="shared" ref="J29" si="19">I29-H29+1</f>
        <v>2</v>
      </c>
      <c r="K29" s="4">
        <f t="shared" si="1"/>
        <v>421</v>
      </c>
    </row>
    <row r="30" spans="1:11" x14ac:dyDescent="0.35">
      <c r="A30" s="2">
        <v>26</v>
      </c>
      <c r="B30" s="21">
        <v>46076</v>
      </c>
      <c r="C30" s="4" t="s">
        <v>224</v>
      </c>
      <c r="D30" s="4" t="s">
        <v>223</v>
      </c>
      <c r="E30" s="4"/>
      <c r="F30" s="4"/>
      <c r="G30" s="4"/>
      <c r="H30" s="4">
        <v>169629</v>
      </c>
      <c r="I30" s="4">
        <v>169632</v>
      </c>
      <c r="J30" s="4">
        <f t="shared" ref="J30" si="20">I30-H30+1</f>
        <v>4</v>
      </c>
      <c r="K30" s="4">
        <f t="shared" si="1"/>
        <v>417</v>
      </c>
    </row>
    <row r="31" spans="1:11" x14ac:dyDescent="0.35">
      <c r="A31" s="2">
        <v>27</v>
      </c>
      <c r="B31" s="21">
        <v>46076</v>
      </c>
      <c r="C31" s="4" t="s">
        <v>226</v>
      </c>
      <c r="D31" s="4" t="s">
        <v>225</v>
      </c>
      <c r="E31" s="4"/>
      <c r="F31" s="4"/>
      <c r="G31" s="4"/>
      <c r="H31" s="4">
        <v>169633</v>
      </c>
      <c r="I31" s="4">
        <v>169634</v>
      </c>
      <c r="J31" s="4">
        <f t="shared" ref="J31" si="21">I31-H31+1</f>
        <v>2</v>
      </c>
      <c r="K31" s="4">
        <f t="shared" si="1"/>
        <v>415</v>
      </c>
    </row>
    <row r="32" spans="1:11" s="25" customFormat="1" x14ac:dyDescent="0.35">
      <c r="A32" s="23">
        <v>28</v>
      </c>
      <c r="B32" s="24">
        <v>46076</v>
      </c>
      <c r="C32" s="9" t="s">
        <v>228</v>
      </c>
      <c r="D32" s="9" t="s">
        <v>227</v>
      </c>
      <c r="E32" s="9"/>
      <c r="F32" s="9"/>
      <c r="G32" s="9"/>
      <c r="H32" s="9">
        <v>169635</v>
      </c>
      <c r="I32" s="9">
        <v>169637</v>
      </c>
      <c r="J32" s="9">
        <f t="shared" ref="J32" si="22">I32-H32+1</f>
        <v>3</v>
      </c>
      <c r="K32" s="4">
        <f t="shared" si="1"/>
        <v>412</v>
      </c>
    </row>
    <row r="33" spans="1:11" x14ac:dyDescent="0.35">
      <c r="A33" s="2">
        <v>29</v>
      </c>
      <c r="B33" s="21">
        <v>46082</v>
      </c>
      <c r="C33" s="4" t="s">
        <v>229</v>
      </c>
      <c r="D33" s="4" t="s">
        <v>192</v>
      </c>
      <c r="E33" s="4"/>
      <c r="F33" s="4"/>
      <c r="G33" s="4"/>
      <c r="H33" s="4">
        <v>169638</v>
      </c>
      <c r="I33" s="4">
        <v>169638</v>
      </c>
      <c r="J33" s="4">
        <f t="shared" ref="J33" si="23">I33-H33+1</f>
        <v>1</v>
      </c>
      <c r="K33" s="4">
        <f t="shared" si="1"/>
        <v>411</v>
      </c>
    </row>
    <row r="34" spans="1:11" x14ac:dyDescent="0.35">
      <c r="A34" s="2">
        <v>30</v>
      </c>
      <c r="B34" s="21">
        <v>46083</v>
      </c>
      <c r="C34" s="4" t="s">
        <v>231</v>
      </c>
      <c r="D34" s="4" t="s">
        <v>230</v>
      </c>
      <c r="E34" s="4"/>
      <c r="F34" s="4"/>
      <c r="G34" s="4"/>
      <c r="H34" s="4">
        <v>169639</v>
      </c>
      <c r="I34" s="4">
        <v>169646</v>
      </c>
      <c r="J34" s="4">
        <f t="shared" ref="J34" si="24">I34-H34+1</f>
        <v>8</v>
      </c>
      <c r="K34" s="4">
        <f t="shared" si="1"/>
        <v>403</v>
      </c>
    </row>
    <row r="35" spans="1:11" x14ac:dyDescent="0.35">
      <c r="A35" s="2">
        <v>31</v>
      </c>
      <c r="B35" s="21">
        <v>46083</v>
      </c>
      <c r="C35" s="4" t="s">
        <v>233</v>
      </c>
      <c r="D35" s="4" t="s">
        <v>232</v>
      </c>
      <c r="E35" s="4"/>
      <c r="F35" s="4"/>
      <c r="G35" s="4"/>
      <c r="H35" s="4">
        <v>169647</v>
      </c>
      <c r="I35" s="4">
        <v>169649</v>
      </c>
      <c r="J35" s="4">
        <f t="shared" ref="J35" si="25">I35-H35+1</f>
        <v>3</v>
      </c>
      <c r="K35" s="4">
        <f t="shared" si="1"/>
        <v>400</v>
      </c>
    </row>
    <row r="36" spans="1:11" x14ac:dyDescent="0.35">
      <c r="A36" s="2">
        <v>32</v>
      </c>
      <c r="B36" s="21">
        <v>46083</v>
      </c>
      <c r="C36" s="4" t="s">
        <v>235</v>
      </c>
      <c r="D36" s="4" t="s">
        <v>234</v>
      </c>
      <c r="E36" s="4"/>
      <c r="F36" s="4"/>
      <c r="G36" s="4"/>
      <c r="H36" s="4">
        <v>169650</v>
      </c>
      <c r="I36" s="4">
        <v>169652</v>
      </c>
      <c r="J36" s="4">
        <f t="shared" ref="J36" si="26">I36-H36+1</f>
        <v>3</v>
      </c>
      <c r="K36" s="4">
        <f t="shared" si="1"/>
        <v>397</v>
      </c>
    </row>
    <row r="37" spans="1:11" x14ac:dyDescent="0.35">
      <c r="A37" s="2">
        <v>33</v>
      </c>
      <c r="B37" s="21">
        <v>46083</v>
      </c>
      <c r="C37" s="4" t="s">
        <v>80</v>
      </c>
      <c r="D37" s="4" t="s">
        <v>81</v>
      </c>
      <c r="E37" s="4"/>
      <c r="F37" s="4"/>
      <c r="G37" s="4"/>
      <c r="H37" s="4">
        <v>169653</v>
      </c>
      <c r="I37" s="4">
        <v>169663</v>
      </c>
      <c r="J37" s="4">
        <f t="shared" ref="J37" si="27">I37-H37+1</f>
        <v>11</v>
      </c>
      <c r="K37" s="4">
        <f t="shared" si="1"/>
        <v>386</v>
      </c>
    </row>
    <row r="38" spans="1:11" x14ac:dyDescent="0.35">
      <c r="A38" s="2">
        <v>34</v>
      </c>
      <c r="B38" s="21">
        <v>46085</v>
      </c>
      <c r="C38" s="4" t="s">
        <v>237</v>
      </c>
      <c r="D38" s="4" t="s">
        <v>236</v>
      </c>
      <c r="E38" s="4"/>
      <c r="F38" s="4"/>
      <c r="G38" s="4"/>
      <c r="H38" s="4">
        <v>169664</v>
      </c>
      <c r="I38" s="4">
        <v>169687</v>
      </c>
      <c r="J38" s="4">
        <f t="shared" ref="J38" si="28">I38-H38+1</f>
        <v>24</v>
      </c>
      <c r="K38" s="4">
        <f t="shared" si="1"/>
        <v>362</v>
      </c>
    </row>
    <row r="39" spans="1:11" x14ac:dyDescent="0.35">
      <c r="A39" s="2">
        <v>35</v>
      </c>
      <c r="B39" s="21">
        <v>46092</v>
      </c>
      <c r="C39" s="4" t="s">
        <v>239</v>
      </c>
      <c r="D39" s="4" t="s">
        <v>238</v>
      </c>
      <c r="E39" s="4"/>
      <c r="F39" s="4"/>
      <c r="G39" s="4"/>
      <c r="H39" s="4">
        <v>169688</v>
      </c>
      <c r="I39" s="4">
        <v>169693</v>
      </c>
      <c r="J39" s="4">
        <f t="shared" ref="J39" si="29">I39-H39+1</f>
        <v>6</v>
      </c>
      <c r="K39" s="4">
        <f t="shared" si="1"/>
        <v>356</v>
      </c>
    </row>
    <row r="40" spans="1:11" x14ac:dyDescent="0.35">
      <c r="A40" s="2">
        <v>36</v>
      </c>
      <c r="B40" s="21">
        <v>46093</v>
      </c>
      <c r="C40" s="4" t="s">
        <v>174</v>
      </c>
      <c r="D40" s="4" t="s">
        <v>175</v>
      </c>
      <c r="E40" s="4"/>
      <c r="F40" s="4"/>
      <c r="G40" s="4"/>
      <c r="H40" s="4">
        <v>169694</v>
      </c>
      <c r="I40" s="4">
        <v>169694</v>
      </c>
      <c r="J40" s="4">
        <f t="shared" ref="J40" si="30">I40-H40+1</f>
        <v>1</v>
      </c>
      <c r="K40" s="4">
        <f t="shared" si="1"/>
        <v>355</v>
      </c>
    </row>
    <row r="41" spans="1:11" x14ac:dyDescent="0.35">
      <c r="A41" s="2">
        <v>37</v>
      </c>
      <c r="B41" s="21">
        <v>46093</v>
      </c>
      <c r="C41" s="4" t="s">
        <v>66</v>
      </c>
      <c r="D41" s="4" t="s">
        <v>67</v>
      </c>
      <c r="E41" s="4"/>
      <c r="F41" s="4"/>
      <c r="G41" s="4"/>
      <c r="H41" s="4">
        <v>169695</v>
      </c>
      <c r="I41" s="4">
        <v>169704</v>
      </c>
      <c r="J41" s="4">
        <f t="shared" ref="J41" si="31">I41-H41+1</f>
        <v>10</v>
      </c>
      <c r="K41" s="4">
        <f t="shared" si="1"/>
        <v>345</v>
      </c>
    </row>
    <row r="42" spans="1:11" x14ac:dyDescent="0.35">
      <c r="A42" s="2">
        <v>38</v>
      </c>
      <c r="B42" s="21">
        <v>46093</v>
      </c>
      <c r="C42" s="4" t="s">
        <v>241</v>
      </c>
      <c r="D42" s="4" t="s">
        <v>240</v>
      </c>
      <c r="E42" s="4"/>
      <c r="F42" s="4"/>
      <c r="G42" s="4"/>
      <c r="H42" s="4">
        <v>169705</v>
      </c>
      <c r="I42" s="4">
        <v>169755</v>
      </c>
      <c r="J42" s="4">
        <f t="shared" ref="J42" si="32">I42-H42+1</f>
        <v>51</v>
      </c>
      <c r="K42" s="4">
        <f t="shared" si="1"/>
        <v>294</v>
      </c>
    </row>
    <row r="43" spans="1:11" x14ac:dyDescent="0.35">
      <c r="A43" s="2">
        <v>39</v>
      </c>
      <c r="B43" s="21">
        <v>46093</v>
      </c>
      <c r="C43" s="4" t="s">
        <v>243</v>
      </c>
      <c r="D43" s="4" t="s">
        <v>242</v>
      </c>
      <c r="E43" s="4"/>
      <c r="F43" s="4"/>
      <c r="G43" s="4"/>
      <c r="H43" s="4">
        <v>169756</v>
      </c>
      <c r="I43" s="4">
        <v>169761</v>
      </c>
      <c r="J43" s="4">
        <f t="shared" ref="J43" si="33">I43-H43+1</f>
        <v>6</v>
      </c>
      <c r="K43" s="4">
        <f t="shared" si="1"/>
        <v>288</v>
      </c>
    </row>
    <row r="44" spans="1:11" x14ac:dyDescent="0.35">
      <c r="A44" s="2">
        <v>40</v>
      </c>
      <c r="B44" s="21">
        <v>46093</v>
      </c>
      <c r="C44" s="4" t="s">
        <v>245</v>
      </c>
      <c r="D44" s="4" t="s">
        <v>244</v>
      </c>
      <c r="E44" s="4"/>
      <c r="F44" s="4"/>
      <c r="G44" s="4"/>
      <c r="H44" s="4">
        <v>169762</v>
      </c>
      <c r="I44" s="4">
        <v>169791</v>
      </c>
      <c r="J44" s="4">
        <f t="shared" ref="J44" si="34">I44-H44+1</f>
        <v>30</v>
      </c>
      <c r="K44" s="4">
        <f t="shared" si="1"/>
        <v>258</v>
      </c>
    </row>
    <row r="45" spans="1:11" x14ac:dyDescent="0.35">
      <c r="A45" s="2">
        <v>41</v>
      </c>
      <c r="B45" s="21">
        <v>46111</v>
      </c>
      <c r="C45" s="4" t="s">
        <v>246</v>
      </c>
      <c r="D45" s="4" t="s">
        <v>247</v>
      </c>
      <c r="E45" s="4"/>
      <c r="F45" s="4"/>
      <c r="G45" s="4"/>
      <c r="H45" s="4">
        <v>169792</v>
      </c>
      <c r="I45" s="4">
        <v>169792</v>
      </c>
      <c r="J45" s="4">
        <f t="shared" ref="J45" si="35">I45-H45+1</f>
        <v>1</v>
      </c>
      <c r="K45" s="4">
        <f t="shared" si="1"/>
        <v>257</v>
      </c>
    </row>
    <row r="46" spans="1:11" x14ac:dyDescent="0.35">
      <c r="A46" s="2">
        <v>42</v>
      </c>
      <c r="B46" s="21">
        <v>46111</v>
      </c>
      <c r="C46" s="4" t="s">
        <v>248</v>
      </c>
      <c r="D46" s="4" t="s">
        <v>249</v>
      </c>
      <c r="E46" s="4"/>
      <c r="F46" s="4"/>
      <c r="G46" s="4"/>
      <c r="H46" s="4">
        <v>169793</v>
      </c>
      <c r="I46" s="4">
        <v>169795</v>
      </c>
      <c r="J46" s="4">
        <f t="shared" ref="J46" si="36">I46-H46+1</f>
        <v>3</v>
      </c>
      <c r="K46" s="4">
        <f t="shared" si="1"/>
        <v>254</v>
      </c>
    </row>
    <row r="47" spans="1:11" x14ac:dyDescent="0.35">
      <c r="A47" s="2">
        <v>43</v>
      </c>
      <c r="B47" s="21">
        <v>46111</v>
      </c>
      <c r="C47" s="4" t="s">
        <v>226</v>
      </c>
      <c r="D47" s="4" t="s">
        <v>225</v>
      </c>
      <c r="E47" s="4"/>
      <c r="F47" s="4"/>
      <c r="G47" s="4"/>
      <c r="H47" s="4">
        <v>169796</v>
      </c>
      <c r="I47" s="4">
        <v>169796</v>
      </c>
      <c r="J47" s="4">
        <f t="shared" ref="J47" si="37">I47-H47+1</f>
        <v>1</v>
      </c>
      <c r="K47" s="4">
        <f t="shared" si="1"/>
        <v>253</v>
      </c>
    </row>
    <row r="48" spans="1:11" x14ac:dyDescent="0.35">
      <c r="A48" s="2">
        <v>44</v>
      </c>
      <c r="B48" s="21">
        <v>46111</v>
      </c>
      <c r="C48" s="4" t="s">
        <v>250</v>
      </c>
      <c r="D48" s="4" t="s">
        <v>251</v>
      </c>
      <c r="E48" s="4"/>
      <c r="F48" s="4"/>
      <c r="G48" s="4"/>
      <c r="H48" s="4">
        <v>169797</v>
      </c>
      <c r="I48" s="4">
        <v>169797</v>
      </c>
      <c r="J48" s="4">
        <f t="shared" ref="J48" si="38">I48-H48+1</f>
        <v>1</v>
      </c>
      <c r="K48" s="4">
        <f t="shared" si="1"/>
        <v>252</v>
      </c>
    </row>
    <row r="49" spans="1:11" x14ac:dyDescent="0.35">
      <c r="A49" s="2">
        <v>45</v>
      </c>
      <c r="B49" s="21">
        <v>46112</v>
      </c>
      <c r="C49" s="4" t="s">
        <v>252</v>
      </c>
      <c r="D49" s="4" t="s">
        <v>253</v>
      </c>
      <c r="E49" s="4"/>
      <c r="F49" s="4"/>
      <c r="G49" s="4"/>
      <c r="H49" s="4">
        <v>169798</v>
      </c>
      <c r="I49" s="4">
        <v>169817</v>
      </c>
      <c r="J49" s="4">
        <f t="shared" ref="J49" si="39">I49-H49+1</f>
        <v>20</v>
      </c>
      <c r="K49" s="4">
        <f t="shared" si="1"/>
        <v>232</v>
      </c>
    </row>
    <row r="50" spans="1:11" x14ac:dyDescent="0.35">
      <c r="A50" s="2">
        <v>46</v>
      </c>
      <c r="B50" s="21">
        <v>46113</v>
      </c>
      <c r="C50" s="4" t="s">
        <v>182</v>
      </c>
      <c r="D50" s="4" t="s">
        <v>254</v>
      </c>
      <c r="E50" s="4"/>
      <c r="F50" s="4"/>
      <c r="G50" s="4"/>
      <c r="H50" s="4">
        <v>169818</v>
      </c>
      <c r="I50" s="4">
        <v>169818</v>
      </c>
      <c r="J50" s="4">
        <f t="shared" ref="J50" si="40">I50-H50+1</f>
        <v>1</v>
      </c>
      <c r="K50" s="4">
        <f t="shared" si="1"/>
        <v>231</v>
      </c>
    </row>
    <row r="51" spans="1:11" x14ac:dyDescent="0.35">
      <c r="A51" s="2">
        <v>47</v>
      </c>
      <c r="B51" s="21">
        <v>46113</v>
      </c>
      <c r="C51" s="4" t="s">
        <v>19</v>
      </c>
      <c r="D51" s="4" t="s">
        <v>255</v>
      </c>
      <c r="E51" s="4"/>
      <c r="F51" s="4"/>
      <c r="G51" s="4"/>
      <c r="H51" s="4">
        <v>169819</v>
      </c>
      <c r="I51" s="4">
        <v>169820</v>
      </c>
      <c r="J51" s="4">
        <f t="shared" ref="J51" si="41">I51-H51+1</f>
        <v>2</v>
      </c>
      <c r="K51" s="4">
        <f t="shared" si="1"/>
        <v>229</v>
      </c>
    </row>
    <row r="52" spans="1:11" x14ac:dyDescent="0.35">
      <c r="A52" s="2">
        <v>48</v>
      </c>
      <c r="B52" s="21">
        <v>46113</v>
      </c>
      <c r="C52" s="4" t="s">
        <v>256</v>
      </c>
      <c r="D52" s="4" t="s">
        <v>257</v>
      </c>
      <c r="E52" s="4"/>
      <c r="F52" s="4"/>
      <c r="G52" s="4"/>
      <c r="H52" s="4">
        <v>169821</v>
      </c>
      <c r="I52" s="4">
        <v>169830</v>
      </c>
      <c r="J52" s="4">
        <f t="shared" ref="J52" si="42">I52-H52+1</f>
        <v>10</v>
      </c>
      <c r="K52" s="4">
        <f t="shared" si="1"/>
        <v>219</v>
      </c>
    </row>
    <row r="53" spans="1:11" x14ac:dyDescent="0.35">
      <c r="A53" s="2">
        <v>49</v>
      </c>
      <c r="B53" s="21">
        <v>46118</v>
      </c>
      <c r="C53" s="4" t="s">
        <v>258</v>
      </c>
      <c r="D53" s="4" t="s">
        <v>149</v>
      </c>
      <c r="E53" s="4"/>
      <c r="F53" s="4"/>
      <c r="G53" s="4"/>
      <c r="H53" s="4">
        <v>169831</v>
      </c>
      <c r="I53" s="4">
        <v>169831</v>
      </c>
      <c r="J53" s="4">
        <f t="shared" ref="J53" si="43">I53-H53+1</f>
        <v>1</v>
      </c>
      <c r="K53" s="4">
        <f t="shared" si="1"/>
        <v>218</v>
      </c>
    </row>
    <row r="54" spans="1:11" x14ac:dyDescent="0.35">
      <c r="A54" s="2">
        <v>50</v>
      </c>
      <c r="B54" s="21">
        <v>46118</v>
      </c>
      <c r="C54" s="4" t="s">
        <v>57</v>
      </c>
      <c r="D54" s="4" t="s">
        <v>58</v>
      </c>
      <c r="E54" s="4"/>
      <c r="F54" s="4"/>
      <c r="G54" s="4"/>
      <c r="H54" s="4">
        <v>169832</v>
      </c>
      <c r="I54" s="4">
        <v>169832</v>
      </c>
      <c r="J54" s="4">
        <f t="shared" ref="J54" si="44">I54-H54+1</f>
        <v>1</v>
      </c>
      <c r="K54" s="4">
        <f t="shared" si="1"/>
        <v>217</v>
      </c>
    </row>
    <row r="55" spans="1:11" x14ac:dyDescent="0.35">
      <c r="A55" s="2">
        <v>51</v>
      </c>
      <c r="B55" s="21">
        <v>46119</v>
      </c>
      <c r="C55" s="4" t="s">
        <v>260</v>
      </c>
      <c r="D55" s="4" t="s">
        <v>259</v>
      </c>
      <c r="E55" s="4"/>
      <c r="F55" s="4"/>
      <c r="G55" s="4"/>
      <c r="H55" s="4">
        <v>169833</v>
      </c>
      <c r="I55" s="4">
        <v>169834</v>
      </c>
      <c r="J55" s="4">
        <f t="shared" ref="J55" si="45">I55-H55+1</f>
        <v>2</v>
      </c>
      <c r="K55" s="4">
        <f t="shared" si="1"/>
        <v>215</v>
      </c>
    </row>
    <row r="56" spans="1:11" x14ac:dyDescent="0.35">
      <c r="A56" s="2">
        <v>52</v>
      </c>
      <c r="B56" s="21">
        <v>46119</v>
      </c>
      <c r="C56" s="4" t="s">
        <v>190</v>
      </c>
      <c r="D56" s="4" t="s">
        <v>191</v>
      </c>
      <c r="E56" s="4"/>
      <c r="F56" s="4"/>
      <c r="G56" s="4"/>
      <c r="H56" s="4">
        <v>169835</v>
      </c>
      <c r="I56" s="4">
        <v>169841</v>
      </c>
      <c r="J56" s="4">
        <f t="shared" ref="J56" si="46">I56-H56+1</f>
        <v>7</v>
      </c>
      <c r="K56" s="4">
        <f t="shared" si="1"/>
        <v>208</v>
      </c>
    </row>
    <row r="57" spans="1:11" x14ac:dyDescent="0.35">
      <c r="A57" s="2">
        <v>53</v>
      </c>
      <c r="B57" s="21">
        <v>46120</v>
      </c>
      <c r="C57" s="4" t="s">
        <v>262</v>
      </c>
      <c r="D57" s="4" t="s">
        <v>261</v>
      </c>
      <c r="E57" s="4"/>
      <c r="F57" s="4"/>
      <c r="G57" s="4"/>
      <c r="H57" s="4">
        <v>169842</v>
      </c>
      <c r="I57" s="4">
        <v>169842</v>
      </c>
      <c r="J57" s="4">
        <f t="shared" ref="J57" si="47">I57-H57+1</f>
        <v>1</v>
      </c>
      <c r="K57" s="4">
        <f t="shared" si="1"/>
        <v>207</v>
      </c>
    </row>
    <row r="58" spans="1:11" x14ac:dyDescent="0.35">
      <c r="A58" s="2">
        <v>54</v>
      </c>
      <c r="B58" s="21">
        <v>46126</v>
      </c>
      <c r="C58" s="4" t="s">
        <v>263</v>
      </c>
      <c r="D58" s="4" t="s">
        <v>173</v>
      </c>
      <c r="E58" s="4"/>
      <c r="F58" s="4"/>
      <c r="G58" s="4"/>
      <c r="H58" s="4">
        <v>169843</v>
      </c>
      <c r="I58" s="4">
        <v>169846</v>
      </c>
      <c r="J58" s="4">
        <f t="shared" ref="J58" si="48">I58-H58+1</f>
        <v>4</v>
      </c>
      <c r="K58" s="4">
        <f t="shared" si="1"/>
        <v>203</v>
      </c>
    </row>
    <row r="59" spans="1:11" x14ac:dyDescent="0.35">
      <c r="A59" s="2">
        <v>55</v>
      </c>
      <c r="B59" s="21">
        <v>46129</v>
      </c>
      <c r="C59" s="4" t="s">
        <v>197</v>
      </c>
      <c r="D59" s="4" t="s">
        <v>198</v>
      </c>
      <c r="E59" s="4"/>
      <c r="F59" s="4"/>
      <c r="G59" s="4"/>
      <c r="H59" s="4">
        <v>169847</v>
      </c>
      <c r="I59" s="4">
        <v>169847</v>
      </c>
      <c r="J59" s="4">
        <f t="shared" ref="J59" si="49">I59-H59+1</f>
        <v>1</v>
      </c>
      <c r="K59" s="4">
        <f t="shared" si="1"/>
        <v>202</v>
      </c>
    </row>
    <row r="60" spans="1:11" x14ac:dyDescent="0.35">
      <c r="A60" s="2">
        <v>56</v>
      </c>
      <c r="B60" s="21">
        <v>46129</v>
      </c>
      <c r="C60" s="4" t="s">
        <v>106</v>
      </c>
      <c r="D60" s="4" t="s">
        <v>173</v>
      </c>
      <c r="E60" s="4"/>
      <c r="F60" s="4"/>
      <c r="G60" s="4"/>
      <c r="H60" s="4">
        <v>169848</v>
      </c>
      <c r="I60" s="4">
        <v>169849</v>
      </c>
      <c r="J60" s="4">
        <f t="shared" ref="J60" si="50">I60-H60+1</f>
        <v>2</v>
      </c>
      <c r="K60" s="4">
        <f t="shared" si="1"/>
        <v>200</v>
      </c>
    </row>
    <row r="61" spans="1:11" x14ac:dyDescent="0.35">
      <c r="A61" s="2">
        <v>57</v>
      </c>
      <c r="B61" s="21">
        <v>46129</v>
      </c>
      <c r="C61" s="4" t="s">
        <v>211</v>
      </c>
      <c r="D61" s="4" t="s">
        <v>210</v>
      </c>
      <c r="E61" s="4"/>
      <c r="F61" s="4"/>
      <c r="G61" s="4"/>
      <c r="H61" s="4">
        <v>169850</v>
      </c>
      <c r="I61" s="4">
        <v>169850</v>
      </c>
      <c r="J61" s="4">
        <f t="shared" ref="J61" si="51">I61-H61+1</f>
        <v>1</v>
      </c>
      <c r="K61" s="4">
        <f t="shared" si="1"/>
        <v>199</v>
      </c>
    </row>
    <row r="62" spans="1:11" x14ac:dyDescent="0.35">
      <c r="A62" s="2">
        <v>58</v>
      </c>
      <c r="B62" s="21">
        <v>46135</v>
      </c>
      <c r="C62" s="4" t="s">
        <v>264</v>
      </c>
      <c r="D62" s="4" t="s">
        <v>149</v>
      </c>
      <c r="E62" s="4"/>
      <c r="F62" s="4"/>
      <c r="G62" s="4"/>
      <c r="H62" s="4">
        <v>169851</v>
      </c>
      <c r="I62" s="4">
        <v>169851</v>
      </c>
      <c r="J62" s="4">
        <f t="shared" ref="J62" si="52">I62-H62+1</f>
        <v>1</v>
      </c>
      <c r="K62" s="4">
        <f t="shared" si="1"/>
        <v>198</v>
      </c>
    </row>
    <row r="63" spans="1:11" x14ac:dyDescent="0.35">
      <c r="A63" s="2">
        <v>59</v>
      </c>
      <c r="B63" s="21">
        <v>46135</v>
      </c>
      <c r="C63" s="4" t="s">
        <v>190</v>
      </c>
      <c r="D63" s="4" t="s">
        <v>191</v>
      </c>
      <c r="E63" s="4"/>
      <c r="F63" s="4"/>
      <c r="G63" s="4"/>
      <c r="H63" s="4">
        <v>169852</v>
      </c>
      <c r="I63" s="4">
        <v>169852</v>
      </c>
      <c r="J63" s="4">
        <f t="shared" ref="J63" si="53">I63-H63+1</f>
        <v>1</v>
      </c>
      <c r="K63" s="4">
        <f t="shared" si="1"/>
        <v>197</v>
      </c>
    </row>
    <row r="64" spans="1:11" x14ac:dyDescent="0.35">
      <c r="A64" s="2">
        <v>60</v>
      </c>
      <c r="B64" s="21">
        <v>46135</v>
      </c>
      <c r="C64" s="4" t="s">
        <v>265</v>
      </c>
      <c r="D64" s="4" t="s">
        <v>227</v>
      </c>
      <c r="E64" s="4"/>
      <c r="F64" s="4"/>
      <c r="G64" s="4"/>
      <c r="H64" s="4">
        <v>169853</v>
      </c>
      <c r="I64" s="4">
        <v>169856</v>
      </c>
      <c r="J64" s="4">
        <f t="shared" ref="J64" si="54">I64-H64+1</f>
        <v>4</v>
      </c>
      <c r="K64" s="4">
        <f t="shared" si="1"/>
        <v>193</v>
      </c>
    </row>
    <row r="65" spans="1:11" x14ac:dyDescent="0.35">
      <c r="A65" s="2">
        <v>61</v>
      </c>
      <c r="B65" s="21">
        <v>46135</v>
      </c>
      <c r="C65" s="4" t="s">
        <v>266</v>
      </c>
      <c r="D65" s="4" t="s">
        <v>267</v>
      </c>
      <c r="E65" s="4"/>
      <c r="F65" s="4"/>
      <c r="G65" s="4"/>
      <c r="H65" s="4">
        <v>169857</v>
      </c>
      <c r="I65" s="4">
        <v>169858</v>
      </c>
      <c r="J65" s="4">
        <f t="shared" ref="J65" si="55">I65-H65+1</f>
        <v>2</v>
      </c>
      <c r="K65" s="4">
        <f t="shared" si="1"/>
        <v>191</v>
      </c>
    </row>
    <row r="66" spans="1:11" x14ac:dyDescent="0.35">
      <c r="A66" s="2">
        <v>62</v>
      </c>
      <c r="B66" s="21">
        <v>46135</v>
      </c>
      <c r="C66" s="4" t="s">
        <v>268</v>
      </c>
      <c r="D66" s="4" t="s">
        <v>269</v>
      </c>
      <c r="E66" s="4"/>
      <c r="F66" s="4"/>
      <c r="G66" s="4"/>
      <c r="H66" s="4">
        <v>169859</v>
      </c>
      <c r="I66" s="4">
        <v>169860</v>
      </c>
      <c r="J66" s="4">
        <f t="shared" ref="J66" si="56">I66-H66+1</f>
        <v>2</v>
      </c>
      <c r="K66" s="4">
        <f t="shared" si="1"/>
        <v>189</v>
      </c>
    </row>
    <row r="67" spans="1:11" x14ac:dyDescent="0.35">
      <c r="A67" s="2">
        <v>63</v>
      </c>
      <c r="B67" s="21">
        <v>46135</v>
      </c>
      <c r="C67" s="4" t="s">
        <v>174</v>
      </c>
      <c r="D67" s="4" t="s">
        <v>175</v>
      </c>
      <c r="E67" s="4"/>
      <c r="F67" s="4"/>
      <c r="G67" s="4"/>
      <c r="H67" s="4">
        <v>169861</v>
      </c>
      <c r="I67" s="4">
        <v>169861</v>
      </c>
      <c r="J67" s="4">
        <f t="shared" ref="J67" si="57">I67-H67+1</f>
        <v>1</v>
      </c>
      <c r="K67" s="4">
        <f t="shared" si="1"/>
        <v>188</v>
      </c>
    </row>
    <row r="68" spans="1:11" x14ac:dyDescent="0.35">
      <c r="A68" s="2">
        <v>64</v>
      </c>
      <c r="B68" s="21">
        <v>46136</v>
      </c>
      <c r="C68" s="4" t="s">
        <v>270</v>
      </c>
      <c r="D68" s="4" t="s">
        <v>34</v>
      </c>
      <c r="E68" s="4"/>
      <c r="F68" s="4"/>
      <c r="G68" s="4"/>
      <c r="H68" s="4">
        <v>169862</v>
      </c>
      <c r="I68" s="4">
        <v>169863</v>
      </c>
      <c r="J68" s="4">
        <f t="shared" ref="J68" si="58">I68-H68+1</f>
        <v>2</v>
      </c>
      <c r="K68" s="4">
        <f t="shared" si="1"/>
        <v>186</v>
      </c>
    </row>
    <row r="69" spans="1:11" x14ac:dyDescent="0.35">
      <c r="A69" s="2">
        <v>65</v>
      </c>
      <c r="B69" s="21">
        <v>46136</v>
      </c>
      <c r="C69" s="4" t="s">
        <v>271</v>
      </c>
      <c r="D69" s="4" t="s">
        <v>181</v>
      </c>
      <c r="E69" s="4"/>
      <c r="F69" s="4"/>
      <c r="G69" s="4"/>
      <c r="H69" s="4">
        <v>169864</v>
      </c>
      <c r="I69" s="4">
        <v>169864</v>
      </c>
      <c r="J69" s="4">
        <f t="shared" ref="J69" si="59">I69-H69+1</f>
        <v>1</v>
      </c>
      <c r="K69" s="4">
        <f t="shared" si="1"/>
        <v>185</v>
      </c>
    </row>
    <row r="70" spans="1:11" x14ac:dyDescent="0.35">
      <c r="A70" s="2">
        <v>66</v>
      </c>
      <c r="B70" s="21">
        <v>46137</v>
      </c>
      <c r="C70" s="4" t="s">
        <v>272</v>
      </c>
      <c r="D70" s="4" t="s">
        <v>273</v>
      </c>
      <c r="E70" s="4"/>
      <c r="F70" s="4"/>
      <c r="G70" s="4"/>
      <c r="H70" s="4">
        <v>169865</v>
      </c>
      <c r="I70" s="4">
        <v>169894</v>
      </c>
      <c r="J70" s="4">
        <f t="shared" ref="J70" si="60">I70-H70+1</f>
        <v>30</v>
      </c>
      <c r="K70" s="4">
        <f t="shared" ref="K70:K93" si="61">K69-J70</f>
        <v>155</v>
      </c>
    </row>
    <row r="71" spans="1:11" x14ac:dyDescent="0.35">
      <c r="A71" s="2">
        <v>67</v>
      </c>
      <c r="B71" s="21">
        <v>46141</v>
      </c>
      <c r="C71" s="4" t="s">
        <v>274</v>
      </c>
      <c r="D71" s="4" t="s">
        <v>275</v>
      </c>
      <c r="E71" s="4"/>
      <c r="F71" s="4"/>
      <c r="G71" s="4"/>
      <c r="H71" s="4">
        <v>169895</v>
      </c>
      <c r="I71" s="4">
        <v>169919</v>
      </c>
      <c r="J71" s="4">
        <f t="shared" ref="J71" si="62">I71-H71+1</f>
        <v>25</v>
      </c>
      <c r="K71" s="4">
        <f t="shared" si="61"/>
        <v>130</v>
      </c>
    </row>
    <row r="72" spans="1:11" x14ac:dyDescent="0.35">
      <c r="A72" s="2">
        <v>68</v>
      </c>
      <c r="B72" s="21">
        <v>46147</v>
      </c>
      <c r="C72" s="4" t="s">
        <v>276</v>
      </c>
      <c r="D72" s="4" t="s">
        <v>277</v>
      </c>
      <c r="E72" s="4"/>
      <c r="F72" s="4"/>
      <c r="G72" s="4"/>
      <c r="H72" s="4">
        <v>169920</v>
      </c>
      <c r="I72" s="4">
        <v>169928</v>
      </c>
      <c r="J72" s="4">
        <f t="shared" ref="J72" si="63">I72-H72+1</f>
        <v>9</v>
      </c>
      <c r="K72" s="4">
        <f t="shared" si="61"/>
        <v>121</v>
      </c>
    </row>
    <row r="73" spans="1:11" x14ac:dyDescent="0.35">
      <c r="A73" s="2">
        <v>69</v>
      </c>
      <c r="B73" s="21">
        <v>46147</v>
      </c>
      <c r="C73" s="4" t="s">
        <v>278</v>
      </c>
      <c r="D73" s="4" t="s">
        <v>279</v>
      </c>
      <c r="E73" s="4"/>
      <c r="F73" s="4"/>
      <c r="G73" s="4"/>
      <c r="H73" s="4">
        <v>169929</v>
      </c>
      <c r="I73" s="4">
        <v>169930</v>
      </c>
      <c r="J73" s="4">
        <f t="shared" ref="J73" si="64">I73-H73+1</f>
        <v>2</v>
      </c>
      <c r="K73" s="4">
        <f t="shared" si="61"/>
        <v>119</v>
      </c>
    </row>
    <row r="74" spans="1:11" x14ac:dyDescent="0.35">
      <c r="A74" s="2">
        <v>70</v>
      </c>
      <c r="B74" s="21">
        <v>46148</v>
      </c>
      <c r="C74" s="4" t="s">
        <v>47</v>
      </c>
      <c r="D74" s="4" t="s">
        <v>48</v>
      </c>
      <c r="E74" s="4"/>
      <c r="F74" s="4"/>
      <c r="G74" s="4"/>
      <c r="H74" s="4">
        <v>169931</v>
      </c>
      <c r="I74" s="4">
        <v>169931</v>
      </c>
      <c r="J74" s="4">
        <f t="shared" ref="J74" si="65">I74-H74+1</f>
        <v>1</v>
      </c>
      <c r="K74" s="4">
        <f t="shared" si="61"/>
        <v>118</v>
      </c>
    </row>
    <row r="75" spans="1:11" x14ac:dyDescent="0.35">
      <c r="A75" s="2">
        <v>71</v>
      </c>
      <c r="B75" s="21">
        <v>46148</v>
      </c>
      <c r="C75" s="4" t="s">
        <v>245</v>
      </c>
      <c r="D75" s="4" t="s">
        <v>244</v>
      </c>
      <c r="E75" s="4"/>
      <c r="F75" s="4"/>
      <c r="G75" s="4"/>
      <c r="H75" s="4">
        <v>169932</v>
      </c>
      <c r="I75" s="4">
        <v>169933</v>
      </c>
      <c r="J75" s="4">
        <f t="shared" ref="J75" si="66">I75-H75+1</f>
        <v>2</v>
      </c>
      <c r="K75" s="4">
        <f t="shared" si="61"/>
        <v>116</v>
      </c>
    </row>
    <row r="76" spans="1:11" x14ac:dyDescent="0.35">
      <c r="A76" s="2">
        <v>72</v>
      </c>
      <c r="B76" s="21">
        <v>46149</v>
      </c>
      <c r="C76" s="4" t="s">
        <v>125</v>
      </c>
      <c r="D76" s="4" t="s">
        <v>145</v>
      </c>
      <c r="E76" s="4"/>
      <c r="F76" s="4"/>
      <c r="G76" s="4"/>
      <c r="H76" s="4">
        <v>169934</v>
      </c>
      <c r="I76" s="4">
        <v>169934</v>
      </c>
      <c r="J76" s="4">
        <f t="shared" ref="J76" si="67">I76-H76+1</f>
        <v>1</v>
      </c>
      <c r="K76" s="4">
        <f t="shared" si="61"/>
        <v>115</v>
      </c>
    </row>
    <row r="77" spans="1:11" x14ac:dyDescent="0.35">
      <c r="A77" s="2">
        <v>73</v>
      </c>
      <c r="B77" s="21">
        <v>46153</v>
      </c>
      <c r="C77" s="4" t="s">
        <v>281</v>
      </c>
      <c r="D77" s="4" t="s">
        <v>280</v>
      </c>
      <c r="E77" s="4"/>
      <c r="F77" s="4"/>
      <c r="G77" s="4"/>
      <c r="H77" s="4">
        <v>169935</v>
      </c>
      <c r="I77" s="4">
        <v>169937</v>
      </c>
      <c r="J77" s="4">
        <f t="shared" ref="J77" si="68">I77-H77+1</f>
        <v>3</v>
      </c>
      <c r="K77" s="4">
        <f t="shared" si="61"/>
        <v>112</v>
      </c>
    </row>
    <row r="78" spans="1:11" x14ac:dyDescent="0.35">
      <c r="A78" s="2">
        <v>74</v>
      </c>
      <c r="B78" s="21">
        <v>46153</v>
      </c>
      <c r="C78" s="4" t="s">
        <v>282</v>
      </c>
      <c r="D78" s="4" t="s">
        <v>283</v>
      </c>
      <c r="E78" s="4"/>
      <c r="F78" s="4"/>
      <c r="G78" s="4"/>
      <c r="H78" s="4">
        <v>169938</v>
      </c>
      <c r="I78" s="4">
        <v>169954</v>
      </c>
      <c r="J78" s="4">
        <f t="shared" ref="J78" si="69">I78-H78+1</f>
        <v>17</v>
      </c>
      <c r="K78" s="4">
        <f t="shared" si="61"/>
        <v>95</v>
      </c>
    </row>
    <row r="79" spans="1:11" x14ac:dyDescent="0.35">
      <c r="A79" s="2">
        <v>75</v>
      </c>
      <c r="B79" s="21">
        <v>46153</v>
      </c>
      <c r="C79" s="4" t="s">
        <v>235</v>
      </c>
      <c r="D79" s="4" t="s">
        <v>234</v>
      </c>
      <c r="E79" s="4"/>
      <c r="F79" s="4"/>
      <c r="G79" s="4"/>
      <c r="H79" s="4">
        <v>169955</v>
      </c>
      <c r="I79" s="4">
        <v>169956</v>
      </c>
      <c r="J79" s="4">
        <f t="shared" ref="J79" si="70">I79-H79+1</f>
        <v>2</v>
      </c>
      <c r="K79" s="4">
        <f t="shared" si="61"/>
        <v>93</v>
      </c>
    </row>
    <row r="80" spans="1:11" x14ac:dyDescent="0.35">
      <c r="A80" s="2">
        <v>76</v>
      </c>
      <c r="B80" s="21">
        <v>46155</v>
      </c>
      <c r="C80" s="4" t="s">
        <v>94</v>
      </c>
      <c r="D80" s="4" t="s">
        <v>284</v>
      </c>
      <c r="E80" s="4"/>
      <c r="F80" s="4"/>
      <c r="G80" s="4"/>
      <c r="H80" s="4">
        <v>169957</v>
      </c>
      <c r="I80" s="4">
        <v>169957</v>
      </c>
      <c r="J80" s="4">
        <f t="shared" ref="J80" si="71">I80-H80+1</f>
        <v>1</v>
      </c>
      <c r="K80" s="4">
        <f t="shared" si="61"/>
        <v>92</v>
      </c>
    </row>
    <row r="81" spans="1:12" x14ac:dyDescent="0.35">
      <c r="A81" s="2">
        <v>77</v>
      </c>
      <c r="B81" s="21">
        <v>46155</v>
      </c>
      <c r="C81" s="4" t="s">
        <v>285</v>
      </c>
      <c r="D81" s="4" t="s">
        <v>286</v>
      </c>
      <c r="E81" s="4"/>
      <c r="F81" s="4"/>
      <c r="G81" s="4"/>
      <c r="H81" s="4">
        <v>169958</v>
      </c>
      <c r="I81" s="4">
        <v>169958</v>
      </c>
      <c r="J81" s="4">
        <f t="shared" ref="J81" si="72">I81-H81+1</f>
        <v>1</v>
      </c>
      <c r="K81" s="4">
        <f t="shared" si="61"/>
        <v>91</v>
      </c>
    </row>
    <row r="82" spans="1:12" x14ac:dyDescent="0.35">
      <c r="A82" s="2">
        <v>78</v>
      </c>
      <c r="B82" s="21">
        <v>46161</v>
      </c>
      <c r="C82" s="4" t="s">
        <v>228</v>
      </c>
      <c r="D82" s="4" t="s">
        <v>287</v>
      </c>
      <c r="E82" s="4"/>
      <c r="F82" s="4"/>
      <c r="G82" s="4"/>
      <c r="H82" s="4">
        <v>169959</v>
      </c>
      <c r="I82" s="4">
        <v>169961</v>
      </c>
      <c r="J82" s="4">
        <f t="shared" ref="J82" si="73">I82-H82+1</f>
        <v>3</v>
      </c>
      <c r="K82" s="4">
        <f t="shared" si="61"/>
        <v>88</v>
      </c>
    </row>
    <row r="83" spans="1:12" x14ac:dyDescent="0.35">
      <c r="A83" s="2">
        <v>79</v>
      </c>
      <c r="B83" s="21">
        <v>46162</v>
      </c>
      <c r="C83" s="4" t="s">
        <v>288</v>
      </c>
      <c r="D83" s="4" t="s">
        <v>289</v>
      </c>
      <c r="E83" s="4"/>
      <c r="F83" s="4"/>
      <c r="G83" s="4"/>
      <c r="H83" s="4">
        <v>169962</v>
      </c>
      <c r="I83" s="4">
        <v>169970</v>
      </c>
      <c r="J83" s="4">
        <f t="shared" ref="J83" si="74">I83-H83+1</f>
        <v>9</v>
      </c>
      <c r="K83" s="4">
        <f t="shared" si="61"/>
        <v>79</v>
      </c>
    </row>
    <row r="84" spans="1:12" x14ac:dyDescent="0.35">
      <c r="A84" s="2">
        <v>80</v>
      </c>
      <c r="B84" s="21">
        <v>46164</v>
      </c>
      <c r="C84" s="4" t="s">
        <v>276</v>
      </c>
      <c r="D84" s="4" t="s">
        <v>277</v>
      </c>
      <c r="E84" s="4"/>
      <c r="F84" s="4"/>
      <c r="G84" s="4"/>
      <c r="H84" s="4">
        <v>169971</v>
      </c>
      <c r="I84" s="4">
        <v>169972</v>
      </c>
      <c r="J84" s="4">
        <f t="shared" ref="J84" si="75">I84-H84+1</f>
        <v>2</v>
      </c>
      <c r="K84" s="4">
        <f t="shared" si="61"/>
        <v>77</v>
      </c>
    </row>
    <row r="85" spans="1:12" x14ac:dyDescent="0.35">
      <c r="A85" s="2">
        <v>81</v>
      </c>
      <c r="B85" s="21">
        <v>46164</v>
      </c>
      <c r="C85" s="4" t="s">
        <v>290</v>
      </c>
      <c r="D85" s="4" t="s">
        <v>291</v>
      </c>
      <c r="E85" s="4"/>
      <c r="F85" s="4"/>
      <c r="G85" s="4"/>
      <c r="H85" s="4">
        <v>169973</v>
      </c>
      <c r="I85" s="4">
        <v>169977</v>
      </c>
      <c r="J85" s="4">
        <f t="shared" ref="J85" si="76">I85-H85+1</f>
        <v>5</v>
      </c>
      <c r="K85" s="4">
        <f t="shared" si="61"/>
        <v>72</v>
      </c>
    </row>
    <row r="86" spans="1:12" x14ac:dyDescent="0.35">
      <c r="A86" s="2">
        <v>82</v>
      </c>
      <c r="B86" s="21">
        <v>46164</v>
      </c>
      <c r="C86" s="4" t="s">
        <v>293</v>
      </c>
      <c r="D86" s="4" t="s">
        <v>292</v>
      </c>
      <c r="E86" s="4"/>
      <c r="F86" s="4"/>
      <c r="G86" s="4"/>
      <c r="H86" s="4">
        <v>169978</v>
      </c>
      <c r="I86" s="4">
        <v>169991</v>
      </c>
      <c r="J86" s="4">
        <f t="shared" ref="J86" si="77">I86-H86+1</f>
        <v>14</v>
      </c>
      <c r="K86" s="4">
        <f t="shared" si="61"/>
        <v>58</v>
      </c>
    </row>
    <row r="87" spans="1:12" x14ac:dyDescent="0.35">
      <c r="A87" s="2">
        <v>83</v>
      </c>
      <c r="B87" s="21">
        <v>46164</v>
      </c>
      <c r="C87" s="4" t="s">
        <v>294</v>
      </c>
      <c r="D87" s="4" t="s">
        <v>295</v>
      </c>
      <c r="E87" s="4"/>
      <c r="F87" s="4"/>
      <c r="G87" s="4"/>
      <c r="H87" s="4">
        <v>169992</v>
      </c>
      <c r="I87" s="4">
        <v>169996</v>
      </c>
      <c r="J87" s="4">
        <f t="shared" ref="J87" si="78">I87-H87+1</f>
        <v>5</v>
      </c>
      <c r="K87" s="4">
        <f t="shared" si="61"/>
        <v>53</v>
      </c>
    </row>
    <row r="88" spans="1:12" x14ac:dyDescent="0.35">
      <c r="A88" s="2">
        <v>84</v>
      </c>
      <c r="B88" s="21">
        <v>46168</v>
      </c>
      <c r="C88" s="4" t="s">
        <v>297</v>
      </c>
      <c r="D88" s="4" t="s">
        <v>296</v>
      </c>
      <c r="E88" s="4"/>
      <c r="F88" s="4"/>
      <c r="G88" s="4"/>
      <c r="H88" s="4">
        <v>169997</v>
      </c>
      <c r="I88" s="4">
        <v>170026</v>
      </c>
      <c r="J88" s="4">
        <f t="shared" ref="J88" si="79">I88-H88+1</f>
        <v>30</v>
      </c>
      <c r="K88" s="4">
        <f t="shared" si="61"/>
        <v>23</v>
      </c>
    </row>
    <row r="89" spans="1:12" x14ac:dyDescent="0.35">
      <c r="A89" s="2">
        <v>85</v>
      </c>
      <c r="B89" s="21">
        <v>46168</v>
      </c>
      <c r="C89" s="4" t="s">
        <v>264</v>
      </c>
      <c r="D89" s="4" t="s">
        <v>149</v>
      </c>
      <c r="E89" s="4"/>
      <c r="F89" s="4"/>
      <c r="G89" s="4"/>
      <c r="H89" s="4">
        <v>170027</v>
      </c>
      <c r="I89" s="4">
        <v>170027</v>
      </c>
      <c r="J89" s="4">
        <f t="shared" ref="J89" si="80">I89-H89+1</f>
        <v>1</v>
      </c>
      <c r="K89" s="4">
        <f t="shared" si="61"/>
        <v>22</v>
      </c>
    </row>
    <row r="90" spans="1:12" x14ac:dyDescent="0.35">
      <c r="A90" s="2">
        <v>86</v>
      </c>
      <c r="B90" s="21">
        <v>46168</v>
      </c>
      <c r="C90" s="4" t="s">
        <v>158</v>
      </c>
      <c r="D90" s="4" t="s">
        <v>159</v>
      </c>
      <c r="E90" s="4"/>
      <c r="F90" s="4"/>
      <c r="G90" s="4"/>
      <c r="H90" s="4">
        <v>170028</v>
      </c>
      <c r="I90" s="4">
        <v>170029</v>
      </c>
      <c r="J90" s="4">
        <f t="shared" ref="J90" si="81">I90-H90+1</f>
        <v>2</v>
      </c>
      <c r="K90" s="4">
        <f t="shared" si="61"/>
        <v>20</v>
      </c>
    </row>
    <row r="91" spans="1:12" x14ac:dyDescent="0.35">
      <c r="A91" s="2">
        <v>87</v>
      </c>
      <c r="B91" s="21">
        <v>46176</v>
      </c>
      <c r="C91" s="4" t="s">
        <v>270</v>
      </c>
      <c r="D91" s="4" t="s">
        <v>34</v>
      </c>
      <c r="E91" s="4"/>
      <c r="F91" s="4"/>
      <c r="G91" s="4"/>
      <c r="H91" s="4">
        <v>170030</v>
      </c>
      <c r="I91" s="4">
        <v>170030</v>
      </c>
      <c r="J91" s="4">
        <f t="shared" ref="J91" si="82">I91-H91+1</f>
        <v>1</v>
      </c>
      <c r="K91" s="4">
        <f t="shared" si="61"/>
        <v>19</v>
      </c>
    </row>
    <row r="92" spans="1:12" x14ac:dyDescent="0.35">
      <c r="A92" s="2">
        <v>88</v>
      </c>
      <c r="B92" s="21">
        <v>46176</v>
      </c>
      <c r="C92" s="4" t="s">
        <v>190</v>
      </c>
      <c r="D92" s="4" t="s">
        <v>191</v>
      </c>
      <c r="E92" s="4"/>
      <c r="F92" s="4"/>
      <c r="G92" s="4"/>
      <c r="H92" s="4">
        <v>170031</v>
      </c>
      <c r="I92" s="4">
        <v>170038</v>
      </c>
      <c r="J92" s="4">
        <f t="shared" ref="J92" si="83">I92-H92+1</f>
        <v>8</v>
      </c>
      <c r="K92" s="4">
        <f t="shared" si="61"/>
        <v>11</v>
      </c>
    </row>
    <row r="93" spans="1:12" x14ac:dyDescent="0.35">
      <c r="A93" s="2">
        <v>89</v>
      </c>
      <c r="B93" s="21">
        <v>46176</v>
      </c>
      <c r="C93" s="4" t="s">
        <v>20</v>
      </c>
      <c r="D93" s="4" t="s">
        <v>63</v>
      </c>
      <c r="E93" s="4"/>
      <c r="F93" s="4"/>
      <c r="G93" s="4"/>
      <c r="H93" s="4">
        <v>170039</v>
      </c>
      <c r="I93" s="4">
        <v>170043</v>
      </c>
      <c r="J93" s="4">
        <f t="shared" ref="J93" si="84">I93-H93+1</f>
        <v>5</v>
      </c>
      <c r="K93" s="4">
        <f t="shared" si="61"/>
        <v>6</v>
      </c>
    </row>
    <row r="94" spans="1:12" x14ac:dyDescent="0.35">
      <c r="A94" s="26"/>
      <c r="B94" s="27"/>
      <c r="C94" s="28"/>
      <c r="D94" s="28"/>
      <c r="E94" s="28">
        <v>1</v>
      </c>
      <c r="F94" s="28">
        <v>500</v>
      </c>
      <c r="G94" s="28">
        <f>F94-E94+1</f>
        <v>500</v>
      </c>
      <c r="H94" s="28"/>
      <c r="I94" s="28"/>
      <c r="J94" s="28"/>
      <c r="K94" s="28">
        <f>K93+G94</f>
        <v>506</v>
      </c>
      <c r="L94">
        <f>SUM(J5:J93)</f>
        <v>540</v>
      </c>
    </row>
    <row r="95" spans="1:12" x14ac:dyDescent="0.35">
      <c r="A95" s="2">
        <v>90</v>
      </c>
      <c r="B95" s="21">
        <v>46178</v>
      </c>
      <c r="C95" s="4" t="s">
        <v>298</v>
      </c>
      <c r="D95" s="4" t="s">
        <v>299</v>
      </c>
      <c r="E95" s="4"/>
      <c r="F95" s="4"/>
      <c r="G95" s="4"/>
      <c r="H95" s="4">
        <v>170044</v>
      </c>
      <c r="I95" s="4">
        <v>170044</v>
      </c>
      <c r="J95" s="4">
        <f t="shared" ref="J95" si="85">I95-H95+1</f>
        <v>1</v>
      </c>
      <c r="K95" s="4">
        <f t="shared" ref="K95" si="86">K94-J95</f>
        <v>505</v>
      </c>
    </row>
    <row r="96" spans="1:12" x14ac:dyDescent="0.35">
      <c r="A96" s="2">
        <v>91</v>
      </c>
      <c r="B96" s="21">
        <v>46178</v>
      </c>
      <c r="C96" s="4" t="s">
        <v>300</v>
      </c>
      <c r="D96" s="4" t="s">
        <v>301</v>
      </c>
      <c r="E96" s="4"/>
      <c r="F96" s="4"/>
      <c r="G96" s="4"/>
      <c r="H96" s="4">
        <v>170045</v>
      </c>
      <c r="I96" s="4">
        <v>170049</v>
      </c>
      <c r="J96" s="4">
        <f t="shared" ref="J96" si="87">I96-H96+1</f>
        <v>5</v>
      </c>
      <c r="K96" s="4">
        <f t="shared" ref="K96" si="88">K95-J96</f>
        <v>500</v>
      </c>
    </row>
    <row r="97" spans="1:11" x14ac:dyDescent="0.35">
      <c r="A97" s="2"/>
      <c r="B97" s="21"/>
      <c r="C97" s="4"/>
      <c r="D97" s="4"/>
      <c r="E97" s="4"/>
      <c r="F97" s="4"/>
      <c r="G97" s="4"/>
      <c r="H97" s="4">
        <v>1</v>
      </c>
      <c r="I97" s="4">
        <v>1</v>
      </c>
      <c r="J97" s="4">
        <f t="shared" ref="J97" si="89">I97-H97+1</f>
        <v>1</v>
      </c>
      <c r="K97" s="4">
        <f t="shared" ref="K97" si="90">K96-J97</f>
        <v>499</v>
      </c>
    </row>
    <row r="98" spans="1:11" x14ac:dyDescent="0.35">
      <c r="A98" s="2">
        <v>92</v>
      </c>
      <c r="B98" s="21">
        <v>46178</v>
      </c>
      <c r="C98" s="4" t="s">
        <v>302</v>
      </c>
      <c r="D98" s="4" t="s">
        <v>303</v>
      </c>
      <c r="E98" s="4"/>
      <c r="F98" s="4"/>
      <c r="G98" s="4"/>
      <c r="H98" s="4">
        <v>2</v>
      </c>
      <c r="I98" s="4">
        <v>21</v>
      </c>
      <c r="J98" s="4">
        <f t="shared" ref="J98" si="91">I98-H98+1</f>
        <v>20</v>
      </c>
      <c r="K98" s="4">
        <f t="shared" ref="K98" si="92">K97-J98</f>
        <v>479</v>
      </c>
    </row>
    <row r="99" spans="1:11" x14ac:dyDescent="0.35">
      <c r="A99" s="2">
        <v>93</v>
      </c>
      <c r="B99" s="21">
        <v>46178</v>
      </c>
      <c r="C99" s="4" t="s">
        <v>305</v>
      </c>
      <c r="D99" s="4" t="s">
        <v>304</v>
      </c>
      <c r="E99" s="4"/>
      <c r="F99" s="4"/>
      <c r="G99" s="4"/>
      <c r="H99" s="4">
        <v>22</v>
      </c>
      <c r="I99" s="4">
        <v>51</v>
      </c>
      <c r="J99" s="4">
        <f t="shared" ref="J99" si="93">I99-H99+1</f>
        <v>30</v>
      </c>
      <c r="K99" s="4">
        <f t="shared" ref="K99" si="94">K98-J99</f>
        <v>449</v>
      </c>
    </row>
    <row r="100" spans="1:11" x14ac:dyDescent="0.35">
      <c r="A100" s="2">
        <v>94</v>
      </c>
      <c r="B100" s="21">
        <v>46182</v>
      </c>
      <c r="C100" s="4" t="s">
        <v>307</v>
      </c>
      <c r="D100" s="4" t="s">
        <v>306</v>
      </c>
      <c r="E100" s="4"/>
      <c r="F100" s="4"/>
      <c r="G100" s="4"/>
      <c r="H100" s="4">
        <v>52</v>
      </c>
      <c r="I100" s="4">
        <v>53</v>
      </c>
      <c r="J100" s="4">
        <f t="shared" ref="J100" si="95">I100-H100+1</f>
        <v>2</v>
      </c>
      <c r="K100" s="4">
        <f t="shared" ref="K100" si="96">K99-J100</f>
        <v>447</v>
      </c>
    </row>
    <row r="101" spans="1:11" x14ac:dyDescent="0.35">
      <c r="A101" s="2">
        <v>95</v>
      </c>
      <c r="B101" s="21">
        <v>46182</v>
      </c>
      <c r="C101" s="4" t="s">
        <v>308</v>
      </c>
      <c r="D101" s="4" t="s">
        <v>309</v>
      </c>
      <c r="E101" s="4"/>
      <c r="F101" s="4"/>
      <c r="G101" s="4"/>
      <c r="H101" s="4">
        <v>54</v>
      </c>
      <c r="I101" s="4">
        <v>80</v>
      </c>
      <c r="J101" s="4">
        <f t="shared" ref="J101" si="97">I101-H101+1</f>
        <v>27</v>
      </c>
      <c r="K101" s="4">
        <f t="shared" ref="K101" si="98">K100-J101</f>
        <v>420</v>
      </c>
    </row>
    <row r="102" spans="1:11" x14ac:dyDescent="0.35">
      <c r="A102" s="2">
        <v>96</v>
      </c>
      <c r="B102" s="21">
        <v>46185</v>
      </c>
      <c r="C102" s="4" t="s">
        <v>106</v>
      </c>
      <c r="D102" s="4" t="s">
        <v>173</v>
      </c>
      <c r="E102" s="4"/>
      <c r="F102" s="4"/>
      <c r="G102" s="4"/>
      <c r="H102" s="4">
        <v>81</v>
      </c>
      <c r="I102" s="4">
        <v>86</v>
      </c>
      <c r="J102" s="4">
        <f t="shared" ref="J102" si="99">I102-H102+1</f>
        <v>6</v>
      </c>
      <c r="K102" s="4">
        <f t="shared" ref="K102" si="100">K101-J102</f>
        <v>414</v>
      </c>
    </row>
    <row r="103" spans="1:11" x14ac:dyDescent="0.35">
      <c r="A103" s="2">
        <v>97</v>
      </c>
      <c r="B103" s="21">
        <v>46185</v>
      </c>
      <c r="C103" s="4" t="s">
        <v>310</v>
      </c>
      <c r="D103" s="4" t="s">
        <v>311</v>
      </c>
      <c r="E103" s="4"/>
      <c r="F103" s="4"/>
      <c r="G103" s="4"/>
      <c r="H103" s="4">
        <v>87</v>
      </c>
      <c r="I103" s="4">
        <v>106</v>
      </c>
      <c r="J103" s="4">
        <f t="shared" ref="J103" si="101">I103-H103+1</f>
        <v>20</v>
      </c>
      <c r="K103" s="4">
        <f t="shared" ref="K103" si="102">K102-J103</f>
        <v>394</v>
      </c>
    </row>
    <row r="104" spans="1:11" x14ac:dyDescent="0.35">
      <c r="A104" s="2">
        <v>98</v>
      </c>
      <c r="B104" s="21">
        <v>46191</v>
      </c>
      <c r="C104" s="4" t="s">
        <v>190</v>
      </c>
      <c r="D104" s="4" t="s">
        <v>191</v>
      </c>
      <c r="E104" s="4"/>
      <c r="F104" s="4"/>
      <c r="G104" s="4"/>
      <c r="H104" s="4">
        <v>107</v>
      </c>
      <c r="I104" s="4">
        <v>107</v>
      </c>
      <c r="J104" s="4">
        <f t="shared" ref="J104" si="103">I104-H104+1</f>
        <v>1</v>
      </c>
      <c r="K104" s="4">
        <f t="shared" ref="K104" si="104">K103-J104</f>
        <v>393</v>
      </c>
    </row>
    <row r="105" spans="1:11" x14ac:dyDescent="0.35">
      <c r="A105" s="2">
        <v>99</v>
      </c>
      <c r="B105" s="21">
        <v>46191</v>
      </c>
      <c r="C105" s="4" t="s">
        <v>313</v>
      </c>
      <c r="D105" s="4" t="s">
        <v>312</v>
      </c>
      <c r="E105" s="4"/>
      <c r="F105" s="4"/>
      <c r="G105" s="4"/>
      <c r="H105" s="4">
        <v>108</v>
      </c>
      <c r="I105" s="4">
        <v>112</v>
      </c>
      <c r="J105" s="4">
        <f t="shared" ref="J105" si="105">I105-H105+1</f>
        <v>5</v>
      </c>
      <c r="K105" s="4">
        <f t="shared" ref="K105" si="106">K104-J105</f>
        <v>388</v>
      </c>
    </row>
    <row r="106" spans="1:11" x14ac:dyDescent="0.35">
      <c r="A106" s="2">
        <v>100</v>
      </c>
      <c r="B106" s="21">
        <v>46191</v>
      </c>
      <c r="C106" s="4" t="s">
        <v>235</v>
      </c>
      <c r="D106" s="4" t="s">
        <v>234</v>
      </c>
      <c r="E106" s="4"/>
      <c r="F106" s="4"/>
      <c r="G106" s="4"/>
      <c r="H106" s="4">
        <v>113</v>
      </c>
      <c r="I106" s="4">
        <v>113</v>
      </c>
      <c r="J106" s="4">
        <f t="shared" ref="J106" si="107">I106-H106+1</f>
        <v>1</v>
      </c>
      <c r="K106" s="4">
        <f t="shared" ref="K106" si="108">K105-J106</f>
        <v>387</v>
      </c>
    </row>
    <row r="107" spans="1:11" x14ac:dyDescent="0.35">
      <c r="A107" s="2">
        <v>101</v>
      </c>
      <c r="B107" s="21">
        <v>46195</v>
      </c>
      <c r="C107" s="4" t="s">
        <v>51</v>
      </c>
      <c r="D107" s="4" t="s">
        <v>52</v>
      </c>
      <c r="E107" s="4"/>
      <c r="F107" s="4"/>
      <c r="G107" s="4"/>
      <c r="H107" s="4">
        <v>114</v>
      </c>
      <c r="I107" s="4">
        <v>114</v>
      </c>
      <c r="J107" s="4">
        <f t="shared" ref="J107" si="109">I107-H107+1</f>
        <v>1</v>
      </c>
      <c r="K107" s="4">
        <f t="shared" ref="K107" si="110">K106-J107</f>
        <v>386</v>
      </c>
    </row>
    <row r="108" spans="1:11" x14ac:dyDescent="0.35">
      <c r="A108" s="2">
        <v>102</v>
      </c>
      <c r="B108" s="21">
        <v>46195</v>
      </c>
      <c r="C108" s="4" t="s">
        <v>315</v>
      </c>
      <c r="D108" s="4" t="s">
        <v>314</v>
      </c>
      <c r="E108" s="4"/>
      <c r="F108" s="4"/>
      <c r="G108" s="4"/>
      <c r="H108" s="4">
        <v>115</v>
      </c>
      <c r="I108" s="4">
        <v>142</v>
      </c>
      <c r="J108" s="4">
        <f t="shared" ref="J108" si="111">I108-H108+1</f>
        <v>28</v>
      </c>
      <c r="K108" s="4">
        <f t="shared" ref="K108" si="112">K107-J108</f>
        <v>358</v>
      </c>
    </row>
    <row r="109" spans="1:11" x14ac:dyDescent="0.35">
      <c r="A109" s="2">
        <v>103</v>
      </c>
      <c r="B109" s="21">
        <v>46195</v>
      </c>
      <c r="C109" s="4" t="s">
        <v>317</v>
      </c>
      <c r="D109" s="4" t="s">
        <v>316</v>
      </c>
      <c r="E109" s="4"/>
      <c r="F109" s="4"/>
      <c r="G109" s="4"/>
      <c r="H109" s="4">
        <v>143</v>
      </c>
      <c r="I109" s="4">
        <v>159</v>
      </c>
      <c r="J109" s="4">
        <f t="shared" ref="J109" si="113">I109-H109+1</f>
        <v>17</v>
      </c>
      <c r="K109" s="4">
        <f t="shared" ref="K109" si="114">K108-J109</f>
        <v>341</v>
      </c>
    </row>
    <row r="110" spans="1:11" x14ac:dyDescent="0.35">
      <c r="A110" s="2">
        <v>104</v>
      </c>
      <c r="B110" s="21">
        <v>46197</v>
      </c>
      <c r="C110" s="4" t="s">
        <v>319</v>
      </c>
      <c r="D110" s="4" t="s">
        <v>318</v>
      </c>
      <c r="E110" s="4"/>
      <c r="F110" s="4"/>
      <c r="G110" s="4"/>
      <c r="H110" s="4">
        <v>160</v>
      </c>
      <c r="I110" s="4">
        <v>163</v>
      </c>
      <c r="J110" s="4">
        <f t="shared" ref="J110" si="115">I110-H110+1</f>
        <v>4</v>
      </c>
      <c r="K110" s="4">
        <f t="shared" ref="K110" si="116">K109-J110</f>
        <v>337</v>
      </c>
    </row>
    <row r="111" spans="1:11" x14ac:dyDescent="0.35">
      <c r="A111" s="2">
        <v>105</v>
      </c>
      <c r="B111" s="21">
        <v>46198</v>
      </c>
      <c r="C111" s="4" t="s">
        <v>293</v>
      </c>
      <c r="D111" s="4" t="s">
        <v>292</v>
      </c>
      <c r="E111" s="4"/>
      <c r="F111" s="4"/>
      <c r="G111" s="4"/>
      <c r="H111" s="4">
        <v>164</v>
      </c>
      <c r="I111" s="4">
        <v>164</v>
      </c>
      <c r="J111" s="4">
        <f t="shared" ref="J111" si="117">I111-H111+1</f>
        <v>1</v>
      </c>
      <c r="K111" s="4">
        <f t="shared" ref="K111" si="118">K110-J111</f>
        <v>336</v>
      </c>
    </row>
    <row r="112" spans="1:11" x14ac:dyDescent="0.35">
      <c r="A112" s="2">
        <v>106</v>
      </c>
      <c r="B112" s="21">
        <v>46202</v>
      </c>
      <c r="C112" s="4" t="s">
        <v>321</v>
      </c>
      <c r="D112" s="4" t="s">
        <v>320</v>
      </c>
      <c r="E112" s="4"/>
      <c r="F112" s="4"/>
      <c r="G112" s="4"/>
      <c r="H112" s="4">
        <v>165</v>
      </c>
      <c r="I112" s="4">
        <v>175</v>
      </c>
      <c r="J112" s="4">
        <f t="shared" ref="J112" si="119">I112-H112+1</f>
        <v>11</v>
      </c>
      <c r="K112" s="4">
        <f t="shared" ref="K112" si="120">K111-J112</f>
        <v>325</v>
      </c>
    </row>
    <row r="113" spans="1:11" x14ac:dyDescent="0.35">
      <c r="A113" s="2">
        <v>107</v>
      </c>
      <c r="B113" s="21">
        <v>46202</v>
      </c>
      <c r="C113" s="4" t="s">
        <v>323</v>
      </c>
      <c r="D113" s="4" t="s">
        <v>322</v>
      </c>
      <c r="E113" s="4"/>
      <c r="F113" s="4"/>
      <c r="G113" s="4"/>
      <c r="H113" s="4">
        <v>176</v>
      </c>
      <c r="I113" s="4">
        <v>180</v>
      </c>
      <c r="J113" s="4">
        <f t="shared" ref="J113" si="121">I113-H113+1</f>
        <v>5</v>
      </c>
      <c r="K113" s="4">
        <f t="shared" ref="K113" si="122">K112-J113</f>
        <v>320</v>
      </c>
    </row>
    <row r="114" spans="1:11" x14ac:dyDescent="0.35">
      <c r="A114" s="2">
        <v>108</v>
      </c>
      <c r="B114" s="21">
        <v>46202</v>
      </c>
      <c r="C114" s="4" t="s">
        <v>325</v>
      </c>
      <c r="D114" s="4" t="s">
        <v>324</v>
      </c>
      <c r="E114" s="4"/>
      <c r="F114" s="4"/>
      <c r="G114" s="4"/>
      <c r="H114" s="4">
        <v>181</v>
      </c>
      <c r="I114" s="4">
        <v>193</v>
      </c>
      <c r="J114" s="4">
        <f t="shared" ref="J114" si="123">I114-H114+1</f>
        <v>13</v>
      </c>
      <c r="K114" s="4">
        <f t="shared" ref="K114" si="124">K113-J114</f>
        <v>307</v>
      </c>
    </row>
    <row r="115" spans="1:11" x14ac:dyDescent="0.35">
      <c r="A115" s="2">
        <v>109</v>
      </c>
      <c r="B115" s="21">
        <v>46204</v>
      </c>
      <c r="C115" s="4" t="s">
        <v>326</v>
      </c>
      <c r="D115" s="4" t="s">
        <v>69</v>
      </c>
      <c r="E115" s="4"/>
      <c r="F115" s="4"/>
      <c r="G115" s="4"/>
      <c r="H115" s="4">
        <v>194</v>
      </c>
      <c r="I115" s="4">
        <v>194</v>
      </c>
      <c r="J115" s="4">
        <f t="shared" ref="J115" si="125">I115-H115+1</f>
        <v>1</v>
      </c>
      <c r="K115" s="4">
        <f t="shared" ref="K115" si="126">K114-J115</f>
        <v>306</v>
      </c>
    </row>
    <row r="116" spans="1:11" x14ac:dyDescent="0.35">
      <c r="A116" s="2">
        <v>110</v>
      </c>
      <c r="B116" s="21">
        <v>46205</v>
      </c>
      <c r="C116" s="4" t="s">
        <v>327</v>
      </c>
      <c r="D116" s="4" t="s">
        <v>328</v>
      </c>
      <c r="E116" s="4"/>
      <c r="F116" s="4"/>
      <c r="G116" s="4"/>
      <c r="H116" s="4">
        <v>195</v>
      </c>
      <c r="I116" s="4">
        <v>216</v>
      </c>
      <c r="J116" s="4">
        <f t="shared" ref="J116" si="127">I116-H116+1</f>
        <v>22</v>
      </c>
      <c r="K116" s="4">
        <f t="shared" ref="K116" si="128">K115-J116</f>
        <v>284</v>
      </c>
    </row>
    <row r="117" spans="1:11" x14ac:dyDescent="0.35">
      <c r="A117" s="2">
        <v>111</v>
      </c>
      <c r="B117" s="21">
        <v>46205</v>
      </c>
      <c r="C117" s="4" t="s">
        <v>243</v>
      </c>
      <c r="D117" s="4" t="s">
        <v>242</v>
      </c>
      <c r="E117" s="4"/>
      <c r="F117" s="4"/>
      <c r="G117" s="4"/>
      <c r="H117" s="4">
        <v>217</v>
      </c>
      <c r="I117" s="4">
        <v>217</v>
      </c>
      <c r="J117" s="4">
        <f t="shared" ref="J117" si="129">I117-H117+1</f>
        <v>1</v>
      </c>
      <c r="K117" s="4">
        <f t="shared" ref="K117" si="130">K116-J117</f>
        <v>283</v>
      </c>
    </row>
    <row r="118" spans="1:11" x14ac:dyDescent="0.35">
      <c r="A118" s="2">
        <v>112</v>
      </c>
      <c r="B118" s="21">
        <v>46205</v>
      </c>
      <c r="C118" s="4" t="s">
        <v>329</v>
      </c>
      <c r="D118" s="4" t="s">
        <v>199</v>
      </c>
      <c r="E118" s="4"/>
      <c r="F118" s="4"/>
      <c r="G118" s="4"/>
      <c r="H118" s="4">
        <v>218</v>
      </c>
      <c r="I118" s="4">
        <v>221</v>
      </c>
      <c r="J118" s="4">
        <f t="shared" ref="J118" si="131">I118-H118+1</f>
        <v>4</v>
      </c>
      <c r="K118" s="4">
        <f t="shared" ref="K118" si="132">K117-J118</f>
        <v>279</v>
      </c>
    </row>
    <row r="119" spans="1:11" x14ac:dyDescent="0.35">
      <c r="A119" s="2">
        <v>113</v>
      </c>
      <c r="B119" s="21">
        <v>46206</v>
      </c>
      <c r="C119" s="4" t="s">
        <v>190</v>
      </c>
      <c r="D119" s="4" t="s">
        <v>191</v>
      </c>
      <c r="E119" s="4"/>
      <c r="F119" s="4"/>
      <c r="G119" s="4"/>
      <c r="H119" s="4">
        <v>222</v>
      </c>
      <c r="I119" s="4">
        <v>223</v>
      </c>
      <c r="J119" s="4">
        <f t="shared" ref="J119" si="133">I119-H119+1</f>
        <v>2</v>
      </c>
      <c r="K119" s="4">
        <f t="shared" ref="K119" si="134">K118-J119</f>
        <v>277</v>
      </c>
    </row>
    <row r="120" spans="1:11" x14ac:dyDescent="0.35">
      <c r="A120" s="2">
        <v>114</v>
      </c>
      <c r="B120" s="21">
        <v>46206</v>
      </c>
      <c r="C120" s="4" t="s">
        <v>331</v>
      </c>
      <c r="D120" s="4" t="s">
        <v>330</v>
      </c>
      <c r="E120" s="4"/>
      <c r="F120" s="4"/>
      <c r="G120" s="4"/>
      <c r="H120" s="4">
        <v>224</v>
      </c>
      <c r="I120" s="4">
        <v>228</v>
      </c>
      <c r="J120" s="4">
        <f t="shared" ref="J120" si="135">I120-H120+1</f>
        <v>5</v>
      </c>
      <c r="K120" s="4">
        <f t="shared" ref="K120" si="136">K119-J120</f>
        <v>272</v>
      </c>
    </row>
    <row r="121" spans="1:11" x14ac:dyDescent="0.35">
      <c r="A121" s="2">
        <v>115</v>
      </c>
      <c r="B121" s="21">
        <v>46209</v>
      </c>
      <c r="C121" s="4" t="s">
        <v>174</v>
      </c>
      <c r="D121" s="4" t="s">
        <v>332</v>
      </c>
      <c r="E121" s="4"/>
      <c r="F121" s="4"/>
      <c r="G121" s="4"/>
      <c r="H121" s="4">
        <v>229</v>
      </c>
      <c r="I121" s="4">
        <v>230</v>
      </c>
      <c r="J121" s="4">
        <f t="shared" ref="J121" si="137">I121-H121+1</f>
        <v>2</v>
      </c>
      <c r="K121" s="4">
        <f t="shared" ref="K121" si="138">K120-J121</f>
        <v>270</v>
      </c>
    </row>
    <row r="122" spans="1:11" x14ac:dyDescent="0.35">
      <c r="A122" s="2">
        <v>116</v>
      </c>
      <c r="B122" s="21">
        <v>46211</v>
      </c>
      <c r="C122" s="4" t="s">
        <v>333</v>
      </c>
      <c r="D122" s="4" t="s">
        <v>238</v>
      </c>
      <c r="E122" s="4"/>
      <c r="F122" s="4"/>
      <c r="G122" s="4"/>
      <c r="H122" s="4">
        <v>248</v>
      </c>
      <c r="I122" s="4">
        <v>249</v>
      </c>
      <c r="J122" s="4">
        <f t="shared" ref="J122" si="139">I122-H122+1</f>
        <v>2</v>
      </c>
      <c r="K122" s="4">
        <f t="shared" ref="K122" si="140">K121-J122</f>
        <v>268</v>
      </c>
    </row>
    <row r="123" spans="1:11" x14ac:dyDescent="0.35">
      <c r="A123" s="2">
        <v>117</v>
      </c>
      <c r="B123" s="21">
        <v>46213</v>
      </c>
      <c r="C123" s="4" t="s">
        <v>334</v>
      </c>
      <c r="D123" s="4" t="s">
        <v>335</v>
      </c>
      <c r="E123" s="4"/>
      <c r="F123" s="4"/>
      <c r="G123" s="4"/>
      <c r="H123" s="4">
        <v>250</v>
      </c>
      <c r="I123" s="4">
        <v>253</v>
      </c>
      <c r="J123" s="4">
        <f t="shared" ref="J123" si="141">I123-H123+1</f>
        <v>4</v>
      </c>
      <c r="K123" s="4">
        <f t="shared" ref="K123" si="142">K122-J123</f>
        <v>264</v>
      </c>
    </row>
    <row r="124" spans="1:11" x14ac:dyDescent="0.35">
      <c r="A124" s="2">
        <v>118</v>
      </c>
      <c r="B124" s="21">
        <v>46217</v>
      </c>
      <c r="C124" s="4" t="s">
        <v>336</v>
      </c>
      <c r="D124" s="4" t="s">
        <v>16</v>
      </c>
      <c r="E124" s="4"/>
      <c r="F124" s="4"/>
      <c r="G124" s="4"/>
      <c r="H124" s="4">
        <v>254</v>
      </c>
      <c r="I124" s="4">
        <v>274</v>
      </c>
      <c r="J124" s="4">
        <f t="shared" ref="J124" si="143">I124-H124+1</f>
        <v>21</v>
      </c>
      <c r="K124" s="4">
        <f t="shared" ref="K124" si="144">K123-J124</f>
        <v>243</v>
      </c>
    </row>
    <row r="125" spans="1:11" x14ac:dyDescent="0.35">
      <c r="A125" s="2">
        <v>119</v>
      </c>
      <c r="B125" s="21">
        <v>46217</v>
      </c>
      <c r="C125" s="4" t="s">
        <v>337</v>
      </c>
      <c r="D125" s="4" t="s">
        <v>159</v>
      </c>
      <c r="E125" s="4"/>
      <c r="F125" s="4"/>
      <c r="G125" s="4"/>
      <c r="H125" s="4">
        <v>275</v>
      </c>
      <c r="I125" s="4">
        <v>275</v>
      </c>
      <c r="J125" s="4">
        <f t="shared" ref="J125" si="145">I125-H125+1</f>
        <v>1</v>
      </c>
      <c r="K125" s="4">
        <f t="shared" ref="K125" si="146">K124-J125</f>
        <v>242</v>
      </c>
    </row>
    <row r="126" spans="1:11" x14ac:dyDescent="0.35">
      <c r="A126" s="2">
        <v>120</v>
      </c>
      <c r="B126" s="21">
        <v>46225</v>
      </c>
      <c r="C126" s="4" t="s">
        <v>338</v>
      </c>
      <c r="D126" s="4" t="s">
        <v>73</v>
      </c>
      <c r="E126" s="4"/>
      <c r="F126" s="4"/>
      <c r="G126" s="4"/>
      <c r="H126" s="4">
        <v>276</v>
      </c>
      <c r="I126" s="4">
        <v>276</v>
      </c>
      <c r="J126" s="4">
        <f t="shared" ref="J126" si="147">I126-H126+1</f>
        <v>1</v>
      </c>
      <c r="K126" s="4">
        <f>K125-J126</f>
        <v>241</v>
      </c>
    </row>
    <row r="127" spans="1:11" x14ac:dyDescent="0.35">
      <c r="A127" s="2">
        <v>121</v>
      </c>
      <c r="B127" s="21">
        <v>46230</v>
      </c>
      <c r="C127" s="4" t="s">
        <v>340</v>
      </c>
      <c r="D127" s="4" t="s">
        <v>339</v>
      </c>
      <c r="E127" s="4"/>
      <c r="F127" s="4"/>
      <c r="G127" s="4"/>
      <c r="H127" s="4">
        <v>277</v>
      </c>
      <c r="I127" s="4">
        <v>277</v>
      </c>
      <c r="J127" s="4">
        <f t="shared" ref="J127" si="148">I127-H127+1</f>
        <v>1</v>
      </c>
      <c r="K127" s="4">
        <f t="shared" ref="K127" si="149">K126-J127</f>
        <v>240</v>
      </c>
    </row>
    <row r="128" spans="1:11" x14ac:dyDescent="0.35">
      <c r="A128" s="2">
        <v>122</v>
      </c>
      <c r="B128" s="21">
        <v>46230</v>
      </c>
      <c r="C128" s="4" t="s">
        <v>342</v>
      </c>
      <c r="D128" s="4" t="s">
        <v>341</v>
      </c>
      <c r="E128" s="4"/>
      <c r="F128" s="4"/>
      <c r="G128" s="4"/>
      <c r="H128" s="4">
        <v>278</v>
      </c>
      <c r="I128" s="4">
        <v>279</v>
      </c>
      <c r="J128" s="4">
        <f t="shared" ref="J128" si="150">I128-H128+1</f>
        <v>2</v>
      </c>
      <c r="K128" s="4">
        <f t="shared" ref="K128" si="151">K127-J128</f>
        <v>238</v>
      </c>
    </row>
    <row r="129" spans="1:11" x14ac:dyDescent="0.35">
      <c r="A129" s="2">
        <v>123</v>
      </c>
      <c r="B129" s="21">
        <v>46230</v>
      </c>
      <c r="C129" s="4" t="s">
        <v>344</v>
      </c>
      <c r="D129" s="4" t="s">
        <v>343</v>
      </c>
      <c r="E129" s="4"/>
      <c r="F129" s="4"/>
      <c r="G129" s="4"/>
      <c r="H129" s="4">
        <v>280</v>
      </c>
      <c r="I129" s="4">
        <v>280</v>
      </c>
      <c r="J129" s="4">
        <f t="shared" ref="J129" si="152">I129-H129+1</f>
        <v>1</v>
      </c>
      <c r="K129" s="4">
        <f t="shared" ref="K129" si="153">K128-J129</f>
        <v>237</v>
      </c>
    </row>
    <row r="130" spans="1:11" x14ac:dyDescent="0.35">
      <c r="A130" s="2">
        <v>124</v>
      </c>
      <c r="B130" s="21">
        <v>46232</v>
      </c>
      <c r="C130" s="4" t="s">
        <v>346</v>
      </c>
      <c r="D130" s="4" t="s">
        <v>345</v>
      </c>
      <c r="E130" s="4"/>
      <c r="F130" s="4"/>
      <c r="G130" s="4"/>
      <c r="H130" s="4">
        <v>281</v>
      </c>
      <c r="I130" s="4">
        <v>281</v>
      </c>
      <c r="J130" s="4">
        <f t="shared" ref="J130" si="154">I130-H130+1</f>
        <v>1</v>
      </c>
      <c r="K130" s="4">
        <f t="shared" ref="K130" si="155">K129-J130</f>
        <v>236</v>
      </c>
    </row>
    <row r="131" spans="1:11" x14ac:dyDescent="0.35">
      <c r="A131" s="2">
        <v>125</v>
      </c>
      <c r="B131" s="21">
        <v>46232</v>
      </c>
      <c r="C131" t="s">
        <v>347</v>
      </c>
      <c r="D131" t="s">
        <v>348</v>
      </c>
      <c r="H131" s="4">
        <v>282</v>
      </c>
      <c r="I131" s="4">
        <v>286</v>
      </c>
      <c r="J131" s="4">
        <f t="shared" ref="J131" si="156">I131-H131+1</f>
        <v>5</v>
      </c>
      <c r="K131" s="4">
        <f t="shared" ref="K131" si="157">K130-J131</f>
        <v>231</v>
      </c>
    </row>
    <row r="132" spans="1:11" x14ac:dyDescent="0.35">
      <c r="A132" s="32">
        <v>126</v>
      </c>
      <c r="B132" s="33">
        <v>46232</v>
      </c>
      <c r="C132" t="s">
        <v>350</v>
      </c>
      <c r="D132" t="s">
        <v>349</v>
      </c>
      <c r="H132" s="19">
        <v>287</v>
      </c>
      <c r="I132" s="19">
        <v>291</v>
      </c>
      <c r="J132" s="19">
        <f t="shared" ref="J132" si="158">I132-H132+1</f>
        <v>5</v>
      </c>
      <c r="K132" s="19">
        <f t="shared" ref="K132" si="159">K131-J132</f>
        <v>226</v>
      </c>
    </row>
    <row r="133" spans="1:11" x14ac:dyDescent="0.35">
      <c r="A133" s="2">
        <v>127</v>
      </c>
      <c r="B133" s="21">
        <v>46232</v>
      </c>
      <c r="C133" s="4" t="s">
        <v>270</v>
      </c>
      <c r="D133" s="4" t="s">
        <v>34</v>
      </c>
      <c r="E133" s="4"/>
      <c r="F133" s="4"/>
      <c r="G133" s="4"/>
      <c r="H133" s="4">
        <v>292</v>
      </c>
      <c r="I133" s="4">
        <v>292</v>
      </c>
      <c r="J133" s="4">
        <f t="shared" ref="J133" si="160">I133-H133+1</f>
        <v>1</v>
      </c>
      <c r="K133" s="4">
        <f t="shared" ref="K133" si="161">K132-J133</f>
        <v>225</v>
      </c>
    </row>
    <row r="134" spans="1:11" x14ac:dyDescent="0.35">
      <c r="A134" s="2">
        <v>128</v>
      </c>
      <c r="B134" s="21">
        <v>46230</v>
      </c>
      <c r="C134" s="4" t="s">
        <v>94</v>
      </c>
      <c r="D134" s="4" t="s">
        <v>284</v>
      </c>
      <c r="E134" s="4"/>
      <c r="F134" s="4"/>
      <c r="G134" s="4"/>
      <c r="H134" s="4">
        <v>293</v>
      </c>
      <c r="I134" s="4">
        <v>293</v>
      </c>
      <c r="J134" s="4">
        <f t="shared" ref="J134" si="162">I134-H134+1</f>
        <v>1</v>
      </c>
      <c r="K134" s="4">
        <f t="shared" ref="K134" si="163">K133-J134</f>
        <v>224</v>
      </c>
    </row>
    <row r="135" spans="1:11" x14ac:dyDescent="0.35">
      <c r="A135" s="2">
        <v>129</v>
      </c>
      <c r="B135" s="21">
        <v>46230</v>
      </c>
      <c r="C135" s="4" t="s">
        <v>190</v>
      </c>
      <c r="D135" s="4" t="s">
        <v>191</v>
      </c>
      <c r="E135" s="4"/>
      <c r="F135" s="4"/>
      <c r="G135" s="4"/>
      <c r="H135" s="4">
        <v>294</v>
      </c>
      <c r="I135" s="4">
        <v>294</v>
      </c>
      <c r="J135" s="4">
        <f t="shared" ref="J135" si="164">I135-H135+1</f>
        <v>1</v>
      </c>
      <c r="K135" s="4">
        <f t="shared" ref="K135" si="165">K134-J135</f>
        <v>223</v>
      </c>
    </row>
    <row r="136" spans="1:11" x14ac:dyDescent="0.35">
      <c r="A136" s="2">
        <v>130</v>
      </c>
      <c r="B136" s="21">
        <v>46223</v>
      </c>
      <c r="C136" s="4" t="s">
        <v>351</v>
      </c>
      <c r="D136" s="4" t="s">
        <v>299</v>
      </c>
      <c r="E136" s="4"/>
      <c r="F136" s="4"/>
      <c r="G136" s="4"/>
      <c r="H136" s="4">
        <v>295</v>
      </c>
      <c r="I136" s="4">
        <v>295</v>
      </c>
      <c r="J136" s="4">
        <f t="shared" ref="J136" si="166">I136-H136+1</f>
        <v>1</v>
      </c>
      <c r="K136" s="4">
        <f t="shared" ref="K136" si="167">K135-J136</f>
        <v>222</v>
      </c>
    </row>
    <row r="137" spans="1:11" x14ac:dyDescent="0.35">
      <c r="A137" s="2">
        <v>131</v>
      </c>
      <c r="B137" s="21">
        <v>46237</v>
      </c>
      <c r="C137" s="4" t="s">
        <v>351</v>
      </c>
      <c r="D137" s="4" t="s">
        <v>299</v>
      </c>
      <c r="E137" s="4"/>
      <c r="F137" s="4"/>
      <c r="G137" s="4"/>
      <c r="H137" s="4">
        <v>296</v>
      </c>
      <c r="I137" s="4">
        <v>304</v>
      </c>
      <c r="J137" s="4">
        <f t="shared" ref="J137" si="168">I137-H137+1</f>
        <v>9</v>
      </c>
      <c r="K137" s="4">
        <f t="shared" ref="K137" si="169">K136-J137</f>
        <v>213</v>
      </c>
    </row>
    <row r="138" spans="1:11" x14ac:dyDescent="0.35">
      <c r="A138" s="2">
        <v>132</v>
      </c>
      <c r="B138" s="21">
        <v>46237</v>
      </c>
      <c r="C138" s="4" t="s">
        <v>352</v>
      </c>
      <c r="D138" s="4" t="s">
        <v>353</v>
      </c>
      <c r="E138" s="4"/>
      <c r="F138" s="4"/>
      <c r="G138" s="4"/>
      <c r="H138" s="4">
        <v>305</v>
      </c>
      <c r="I138" s="4">
        <v>318</v>
      </c>
      <c r="J138" s="4">
        <f t="shared" ref="J138" si="170">I138-H138+1</f>
        <v>14</v>
      </c>
      <c r="K138" s="4">
        <f t="shared" ref="K138" si="171">K137-J138</f>
        <v>199</v>
      </c>
    </row>
    <row r="139" spans="1:11" x14ac:dyDescent="0.35">
      <c r="A139" s="2">
        <v>133</v>
      </c>
      <c r="B139" s="21">
        <v>46238</v>
      </c>
      <c r="C139" s="4" t="s">
        <v>354</v>
      </c>
      <c r="D139" s="4" t="s">
        <v>355</v>
      </c>
      <c r="E139" s="4"/>
      <c r="F139" s="4"/>
      <c r="G139" s="4"/>
      <c r="H139" s="4">
        <v>319</v>
      </c>
      <c r="I139" s="4">
        <v>350</v>
      </c>
      <c r="J139" s="4">
        <f t="shared" ref="J139" si="172">I139-H139+1</f>
        <v>32</v>
      </c>
      <c r="K139" s="4">
        <f t="shared" ref="K139" si="173">K138-J139</f>
        <v>167</v>
      </c>
    </row>
    <row r="140" spans="1:11" x14ac:dyDescent="0.35">
      <c r="A140" s="2">
        <v>134</v>
      </c>
      <c r="B140" s="21">
        <v>46240</v>
      </c>
      <c r="C140" s="4" t="s">
        <v>356</v>
      </c>
      <c r="D140" s="4" t="s">
        <v>357</v>
      </c>
      <c r="E140" s="4"/>
      <c r="F140" s="4"/>
      <c r="G140" s="4"/>
      <c r="H140" s="4">
        <v>351</v>
      </c>
      <c r="I140" s="4">
        <v>369</v>
      </c>
      <c r="J140" s="4">
        <f t="shared" ref="J140" si="174">I140-H140+1</f>
        <v>19</v>
      </c>
      <c r="K140" s="4">
        <f t="shared" ref="K140" si="175">K139-J140</f>
        <v>148</v>
      </c>
    </row>
    <row r="141" spans="1:11" x14ac:dyDescent="0.35">
      <c r="A141" s="2">
        <v>135</v>
      </c>
      <c r="B141" s="21">
        <v>46244</v>
      </c>
      <c r="C141" s="4" t="s">
        <v>358</v>
      </c>
      <c r="D141" s="4" t="s">
        <v>359</v>
      </c>
      <c r="E141" s="4"/>
      <c r="F141" s="4"/>
      <c r="G141" s="4"/>
      <c r="H141" s="4">
        <v>370</v>
      </c>
      <c r="I141" s="4">
        <v>391</v>
      </c>
      <c r="J141" s="4">
        <f t="shared" ref="J141" si="176">I141-H141+1</f>
        <v>22</v>
      </c>
      <c r="K141" s="4">
        <f t="shared" ref="K141" si="177">K140-J141</f>
        <v>126</v>
      </c>
    </row>
    <row r="142" spans="1:11" x14ac:dyDescent="0.35">
      <c r="A142" s="2">
        <v>136</v>
      </c>
      <c r="B142" s="21">
        <v>46244</v>
      </c>
      <c r="C142" s="4" t="s">
        <v>360</v>
      </c>
      <c r="D142" s="4" t="s">
        <v>361</v>
      </c>
      <c r="E142" s="4"/>
      <c r="F142" s="4"/>
      <c r="G142" s="4"/>
      <c r="H142" s="4">
        <v>392</v>
      </c>
      <c r="I142" s="4">
        <v>406</v>
      </c>
      <c r="J142" s="4">
        <f t="shared" ref="J142" si="178">I142-H142+1</f>
        <v>15</v>
      </c>
      <c r="K142" s="4">
        <f t="shared" ref="K142" si="179">K141-J142</f>
        <v>111</v>
      </c>
    </row>
    <row r="143" spans="1:11" x14ac:dyDescent="0.35">
      <c r="A143" s="2">
        <v>137</v>
      </c>
      <c r="B143" s="21">
        <v>46245</v>
      </c>
      <c r="C143" s="4" t="s">
        <v>362</v>
      </c>
      <c r="D143" s="4" t="s">
        <v>363</v>
      </c>
      <c r="E143" s="4"/>
      <c r="F143" s="4"/>
      <c r="G143" s="4"/>
      <c r="H143" s="4">
        <v>407</v>
      </c>
      <c r="I143" s="4">
        <v>407</v>
      </c>
      <c r="J143" s="4">
        <f t="shared" ref="J143" si="180">I143-H143+1</f>
        <v>1</v>
      </c>
      <c r="K143" s="4">
        <f t="shared" ref="K143" si="181">K142-J143</f>
        <v>110</v>
      </c>
    </row>
    <row r="144" spans="1:11" x14ac:dyDescent="0.35">
      <c r="A144" s="2">
        <v>138</v>
      </c>
      <c r="B144" s="21">
        <v>46237</v>
      </c>
      <c r="C144" s="4" t="s">
        <v>364</v>
      </c>
      <c r="D144" s="4" t="s">
        <v>192</v>
      </c>
      <c r="E144" s="4"/>
      <c r="F144" s="4"/>
      <c r="G144" s="4"/>
      <c r="H144" s="4">
        <v>408</v>
      </c>
      <c r="I144" s="4">
        <v>408</v>
      </c>
      <c r="J144" s="4">
        <f t="shared" ref="J144" si="182">I144-H144+1</f>
        <v>1</v>
      </c>
      <c r="K144" s="4">
        <f t="shared" ref="K144" si="183">K143-J144</f>
        <v>109</v>
      </c>
    </row>
    <row r="145" spans="1:12" x14ac:dyDescent="0.35">
      <c r="A145" s="2">
        <v>139</v>
      </c>
      <c r="B145" s="21">
        <v>46244</v>
      </c>
      <c r="C145" s="4" t="s">
        <v>364</v>
      </c>
      <c r="D145" s="4" t="s">
        <v>192</v>
      </c>
      <c r="E145" s="4"/>
      <c r="F145" s="4"/>
      <c r="G145" s="4"/>
      <c r="H145" s="4">
        <v>409</v>
      </c>
      <c r="I145" s="4">
        <v>409</v>
      </c>
      <c r="J145" s="4">
        <f t="shared" ref="J145" si="184">I145-H145+1</f>
        <v>1</v>
      </c>
      <c r="K145" s="4">
        <f t="shared" ref="K145" si="185">K144-J145</f>
        <v>108</v>
      </c>
    </row>
    <row r="146" spans="1:12" x14ac:dyDescent="0.35">
      <c r="A146" s="2">
        <v>140</v>
      </c>
      <c r="B146" s="21">
        <v>46241</v>
      </c>
      <c r="C146" s="4" t="s">
        <v>365</v>
      </c>
      <c r="D146" s="4" t="s">
        <v>254</v>
      </c>
      <c r="E146" s="4"/>
      <c r="F146" s="4"/>
      <c r="G146" s="4"/>
      <c r="H146" s="4">
        <v>410</v>
      </c>
      <c r="I146" s="4">
        <v>410</v>
      </c>
      <c r="J146" s="4">
        <f t="shared" ref="J146" si="186">I146-H146+1</f>
        <v>1</v>
      </c>
      <c r="K146" s="4">
        <f t="shared" ref="K146" si="187">K145-J146</f>
        <v>107</v>
      </c>
    </row>
    <row r="147" spans="1:12" x14ac:dyDescent="0.35">
      <c r="A147" s="2">
        <v>141</v>
      </c>
      <c r="B147" s="21">
        <v>46240</v>
      </c>
      <c r="C147" s="4" t="s">
        <v>117</v>
      </c>
      <c r="D147" s="4" t="s">
        <v>205</v>
      </c>
      <c r="E147" s="4"/>
      <c r="F147" s="4"/>
      <c r="G147" s="4"/>
      <c r="H147" s="4">
        <v>411</v>
      </c>
      <c r="I147" s="4">
        <v>411</v>
      </c>
      <c r="J147" s="4">
        <f t="shared" ref="J147" si="188">I147-H147+1</f>
        <v>1</v>
      </c>
      <c r="K147" s="4">
        <f t="shared" ref="K147" si="189">K146-J147</f>
        <v>106</v>
      </c>
    </row>
    <row r="148" spans="1:12" x14ac:dyDescent="0.35">
      <c r="A148" s="2">
        <v>142</v>
      </c>
      <c r="B148" s="21">
        <v>46248</v>
      </c>
      <c r="C148" s="4" t="s">
        <v>364</v>
      </c>
      <c r="D148" s="4" t="s">
        <v>192</v>
      </c>
      <c r="E148" s="4"/>
      <c r="F148" s="4"/>
      <c r="G148" s="4"/>
      <c r="H148" s="4">
        <v>412</v>
      </c>
      <c r="I148" s="4">
        <v>421</v>
      </c>
      <c r="J148" s="4">
        <f t="shared" ref="J148:J153" si="190">I148-H148+1</f>
        <v>10</v>
      </c>
      <c r="K148" s="4">
        <f t="shared" ref="K148:K153" si="191">K147-J148</f>
        <v>96</v>
      </c>
    </row>
    <row r="149" spans="1:12" x14ac:dyDescent="0.35">
      <c r="A149" s="2">
        <v>143</v>
      </c>
      <c r="B149" s="21">
        <v>46248</v>
      </c>
      <c r="C149" s="4" t="s">
        <v>366</v>
      </c>
      <c r="D149" s="4" t="s">
        <v>89</v>
      </c>
      <c r="E149" s="4"/>
      <c r="F149" s="4"/>
      <c r="G149" s="4"/>
      <c r="H149" s="4">
        <v>422</v>
      </c>
      <c r="I149" s="4">
        <v>424</v>
      </c>
      <c r="J149" s="4">
        <f t="shared" si="190"/>
        <v>3</v>
      </c>
      <c r="K149" s="4">
        <f t="shared" si="191"/>
        <v>93</v>
      </c>
    </row>
    <row r="150" spans="1:12" x14ac:dyDescent="0.35">
      <c r="A150" s="2">
        <v>144</v>
      </c>
      <c r="B150" s="21">
        <v>46248</v>
      </c>
      <c r="C150" s="4" t="s">
        <v>367</v>
      </c>
      <c r="D150" s="4" t="s">
        <v>368</v>
      </c>
      <c r="E150" s="4"/>
      <c r="F150" s="4"/>
      <c r="G150" s="4"/>
      <c r="H150" s="4">
        <v>425</v>
      </c>
      <c r="I150" s="4">
        <v>453</v>
      </c>
      <c r="J150" s="4">
        <f t="shared" si="190"/>
        <v>29</v>
      </c>
      <c r="K150" s="4">
        <f t="shared" si="191"/>
        <v>64</v>
      </c>
    </row>
    <row r="151" spans="1:12" x14ac:dyDescent="0.35">
      <c r="A151" s="2">
        <v>145</v>
      </c>
      <c r="B151" s="21">
        <v>46248</v>
      </c>
      <c r="C151" s="4" t="s">
        <v>369</v>
      </c>
      <c r="D151" s="4" t="s">
        <v>370</v>
      </c>
      <c r="E151" s="4"/>
      <c r="F151" s="4"/>
      <c r="G151" s="4"/>
      <c r="H151" s="4">
        <v>454</v>
      </c>
      <c r="I151" s="4">
        <v>457</v>
      </c>
      <c r="J151" s="4">
        <f t="shared" si="190"/>
        <v>4</v>
      </c>
      <c r="K151" s="4">
        <f t="shared" si="191"/>
        <v>60</v>
      </c>
    </row>
    <row r="152" spans="1:12" x14ac:dyDescent="0.35">
      <c r="A152" s="2">
        <v>146</v>
      </c>
      <c r="B152" s="21">
        <v>46248</v>
      </c>
      <c r="C152" s="4" t="s">
        <v>371</v>
      </c>
      <c r="D152" s="4" t="s">
        <v>372</v>
      </c>
      <c r="E152" s="4"/>
      <c r="F152" s="4"/>
      <c r="G152" s="4"/>
      <c r="H152" s="4">
        <v>458</v>
      </c>
      <c r="I152" s="4">
        <v>458</v>
      </c>
      <c r="J152" s="4">
        <f t="shared" si="190"/>
        <v>1</v>
      </c>
      <c r="K152" s="4">
        <f t="shared" si="191"/>
        <v>59</v>
      </c>
    </row>
    <row r="153" spans="1:12" x14ac:dyDescent="0.35">
      <c r="A153" s="2">
        <v>147</v>
      </c>
      <c r="B153" s="21">
        <v>46248</v>
      </c>
      <c r="C153" s="4" t="s">
        <v>373</v>
      </c>
      <c r="D153" s="4" t="s">
        <v>374</v>
      </c>
      <c r="E153" s="4"/>
      <c r="F153" s="4"/>
      <c r="G153" s="4"/>
      <c r="H153" s="4">
        <v>459</v>
      </c>
      <c r="I153" s="4">
        <v>464</v>
      </c>
      <c r="J153" s="4">
        <f t="shared" si="190"/>
        <v>6</v>
      </c>
      <c r="K153" s="4">
        <f t="shared" si="191"/>
        <v>53</v>
      </c>
      <c r="L153" s="22">
        <f>SUM(J95:J153)</f>
        <v>453</v>
      </c>
    </row>
    <row r="154" spans="1:12" x14ac:dyDescent="0.35">
      <c r="A154" s="2">
        <v>148</v>
      </c>
      <c r="B154" s="21">
        <v>46252</v>
      </c>
      <c r="C154" s="4" t="s">
        <v>375</v>
      </c>
      <c r="D154" s="4" t="s">
        <v>376</v>
      </c>
      <c r="E154" s="4"/>
      <c r="F154" s="4"/>
      <c r="G154" s="4"/>
      <c r="H154" s="4">
        <v>465</v>
      </c>
      <c r="I154" s="4">
        <v>465</v>
      </c>
      <c r="J154" s="4">
        <f t="shared" ref="J154" si="192">I154-H154+1</f>
        <v>1</v>
      </c>
      <c r="K154" s="4">
        <f t="shared" ref="K154" si="193">K153-J154</f>
        <v>52</v>
      </c>
      <c r="L154">
        <f>L153+L94</f>
        <v>993</v>
      </c>
    </row>
    <row r="155" spans="1:12" x14ac:dyDescent="0.35">
      <c r="A155" s="2">
        <v>149</v>
      </c>
      <c r="B155" s="21">
        <v>46255</v>
      </c>
      <c r="C155" s="4" t="s">
        <v>377</v>
      </c>
      <c r="D155" s="4" t="s">
        <v>378</v>
      </c>
      <c r="E155" s="4"/>
      <c r="F155" s="4"/>
      <c r="G155" s="4"/>
      <c r="H155" s="4">
        <v>466</v>
      </c>
      <c r="I155" s="4">
        <v>466</v>
      </c>
      <c r="J155" s="4">
        <f t="shared" ref="J155" si="194">I155-H155+1</f>
        <v>1</v>
      </c>
      <c r="K155" s="4">
        <f t="shared" ref="K155" si="195">K154-J155</f>
        <v>51</v>
      </c>
    </row>
    <row r="156" spans="1:12" x14ac:dyDescent="0.35">
      <c r="A156" s="2">
        <v>150</v>
      </c>
      <c r="B156" s="21">
        <v>46255</v>
      </c>
      <c r="C156" s="4" t="s">
        <v>380</v>
      </c>
      <c r="D156" s="4" t="s">
        <v>379</v>
      </c>
      <c r="E156" s="4"/>
      <c r="F156" s="4"/>
      <c r="G156" s="4"/>
      <c r="H156" s="4">
        <v>467</v>
      </c>
      <c r="I156" s="4">
        <v>496</v>
      </c>
      <c r="J156" s="4">
        <f t="shared" ref="J156" si="196">I156-H156+1</f>
        <v>30</v>
      </c>
      <c r="K156" s="4">
        <f t="shared" ref="K156" si="197">K155-J156</f>
        <v>21</v>
      </c>
    </row>
    <row r="157" spans="1:12" x14ac:dyDescent="0.35">
      <c r="A157" s="2">
        <v>151</v>
      </c>
      <c r="B157" s="21">
        <v>46255</v>
      </c>
      <c r="C157" s="4" t="s">
        <v>382</v>
      </c>
      <c r="D157" s="4" t="s">
        <v>381</v>
      </c>
      <c r="E157" s="4"/>
      <c r="F157" s="4"/>
      <c r="G157" s="4"/>
      <c r="H157" s="4">
        <v>497</v>
      </c>
      <c r="I157" s="4">
        <v>507</v>
      </c>
      <c r="J157" s="4">
        <f t="shared" ref="J157" si="198">I157-H157+1</f>
        <v>11</v>
      </c>
      <c r="K157" s="4">
        <f t="shared" ref="K157" si="199">K156-J157</f>
        <v>10</v>
      </c>
    </row>
    <row r="158" spans="1:12" x14ac:dyDescent="0.35">
      <c r="A158" s="2">
        <v>152</v>
      </c>
      <c r="B158" s="21">
        <v>46261</v>
      </c>
      <c r="C158" s="4" t="s">
        <v>321</v>
      </c>
      <c r="D158" s="4" t="s">
        <v>320</v>
      </c>
      <c r="E158" s="4"/>
      <c r="F158" s="4"/>
      <c r="G158" s="4"/>
      <c r="H158" s="4">
        <v>508</v>
      </c>
      <c r="I158" s="4">
        <v>514</v>
      </c>
      <c r="J158" s="4">
        <f t="shared" ref="J158" si="200">I158-H158+1</f>
        <v>7</v>
      </c>
      <c r="K158" s="4">
        <f t="shared" ref="K158" si="201">K157-J158</f>
        <v>3</v>
      </c>
    </row>
    <row r="159" spans="1:12" x14ac:dyDescent="0.35">
      <c r="A159" s="2">
        <v>153</v>
      </c>
      <c r="B159" s="21">
        <v>46261</v>
      </c>
      <c r="C159" s="4" t="s">
        <v>323</v>
      </c>
      <c r="D159" s="4" t="s">
        <v>322</v>
      </c>
      <c r="E159" s="4"/>
      <c r="F159" s="4"/>
      <c r="G159" s="4"/>
      <c r="H159" s="4">
        <v>515</v>
      </c>
      <c r="I159" s="4">
        <v>515</v>
      </c>
      <c r="J159" s="4">
        <f t="shared" ref="J159" si="202">I159-H159+1</f>
        <v>1</v>
      </c>
      <c r="K159" s="4">
        <f t="shared" ref="K159" si="203">K158-J159</f>
        <v>2</v>
      </c>
    </row>
    <row r="160" spans="1:12" x14ac:dyDescent="0.35">
      <c r="C160" s="22" t="s">
        <v>383</v>
      </c>
    </row>
    <row r="161" spans="3:3" x14ac:dyDescent="0.35">
      <c r="C161" s="22" t="s">
        <v>384</v>
      </c>
    </row>
    <row r="162" spans="3:3" x14ac:dyDescent="0.35">
      <c r="C162" t="s">
        <v>385</v>
      </c>
    </row>
    <row r="163" spans="3:3" x14ac:dyDescent="0.35">
      <c r="C163" t="s">
        <v>387</v>
      </c>
    </row>
    <row r="164" spans="3:3" x14ac:dyDescent="0.35">
      <c r="C164" t="s">
        <v>386</v>
      </c>
    </row>
    <row r="165" spans="3:3" x14ac:dyDescent="0.35">
      <c r="C165" t="s">
        <v>388</v>
      </c>
    </row>
  </sheetData>
  <mergeCells count="10">
    <mergeCell ref="A1:K1"/>
    <mergeCell ref="A2:A3"/>
    <mergeCell ref="B2:B3"/>
    <mergeCell ref="C2:C3"/>
    <mergeCell ref="D2:D3"/>
    <mergeCell ref="E2:F2"/>
    <mergeCell ref="G2:G3"/>
    <mergeCell ref="H2:I2"/>
    <mergeCell ref="J2:J3"/>
    <mergeCell ref="K2:K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</vt:lpstr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Betty Dwi Handayani</cp:lastModifiedBy>
  <cp:lastPrinted>2026-06-05T06:24:16Z</cp:lastPrinted>
  <dcterms:created xsi:type="dcterms:W3CDTF">2025-11-15T03:25:19Z</dcterms:created>
  <dcterms:modified xsi:type="dcterms:W3CDTF">2026-09-01T06:16:16Z</dcterms:modified>
</cp:coreProperties>
</file>